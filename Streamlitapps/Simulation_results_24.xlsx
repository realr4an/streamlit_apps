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\sciebo\Projekt_Kennlinien\QREI Paper\"/>
    </mc:Choice>
  </mc:AlternateContent>
  <xr:revisionPtr revIDLastSave="0" documentId="13_ncr:1_{053843A3-C561-4B90-9FD7-D340D938E0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FF36_ne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2" l="1"/>
  <c r="E52" i="2"/>
  <c r="E53" i="2"/>
  <c r="E54" i="2"/>
  <c r="E55" i="2"/>
  <c r="E56" i="2"/>
  <c r="E57" i="2"/>
  <c r="E58" i="2"/>
  <c r="E59" i="2"/>
  <c r="E60" i="2"/>
  <c r="E61" i="2"/>
  <c r="F40" i="2"/>
  <c r="F41" i="2"/>
  <c r="E50" i="2"/>
  <c r="E42" i="2"/>
  <c r="E43" i="2"/>
  <c r="E44" i="2"/>
  <c r="E45" i="2"/>
  <c r="E46" i="2"/>
  <c r="E47" i="2"/>
  <c r="E48" i="2"/>
  <c r="E49" i="2"/>
  <c r="E22" i="2"/>
  <c r="F22" i="2" s="1"/>
  <c r="E41" i="2"/>
  <c r="E40" i="2"/>
  <c r="F39" i="2"/>
  <c r="E39" i="2"/>
  <c r="F38" i="2"/>
  <c r="E38" i="2"/>
  <c r="E37" i="2"/>
  <c r="F37" i="2" s="1"/>
  <c r="E36" i="2"/>
  <c r="E35" i="2"/>
  <c r="F35" i="2" s="1"/>
  <c r="E34" i="2"/>
  <c r="F34" i="2" s="1"/>
  <c r="E33" i="2"/>
  <c r="F33" i="2" s="1"/>
  <c r="E32" i="2"/>
  <c r="F32" i="2" s="1"/>
  <c r="E31" i="2"/>
  <c r="E30" i="2"/>
  <c r="F30" i="2" s="1"/>
  <c r="E29" i="2"/>
  <c r="E28" i="2"/>
  <c r="F28" i="2" s="1"/>
  <c r="E27" i="2"/>
  <c r="F27" i="2" s="1"/>
  <c r="E26" i="2"/>
  <c r="E25" i="2"/>
  <c r="F25" i="2" s="1"/>
  <c r="E24" i="2"/>
  <c r="E23" i="2"/>
  <c r="E21" i="2"/>
  <c r="F21" i="2" s="1"/>
  <c r="E20" i="2"/>
  <c r="F20" i="2" s="1"/>
  <c r="E19" i="2"/>
  <c r="F19" i="2" s="1"/>
  <c r="E18" i="2"/>
  <c r="F18" i="2" s="1"/>
  <c r="E17" i="2"/>
  <c r="E16" i="2"/>
  <c r="E15" i="2"/>
  <c r="F15" i="2" s="1"/>
  <c r="E14" i="2"/>
  <c r="E13" i="2"/>
  <c r="E12" i="2"/>
  <c r="F12" i="2" s="1"/>
  <c r="E11" i="2"/>
  <c r="E10" i="2"/>
  <c r="F10" i="2" s="1"/>
  <c r="E9" i="2"/>
  <c r="F9" i="2" s="1"/>
  <c r="E8" i="2"/>
  <c r="F8" i="2" s="1"/>
  <c r="E7" i="2"/>
  <c r="E6" i="2"/>
  <c r="F6" i="2" s="1"/>
  <c r="E5" i="2"/>
  <c r="F5" i="2" s="1"/>
  <c r="E4" i="2"/>
  <c r="F4" i="2" s="1"/>
  <c r="E3" i="2"/>
  <c r="F3" i="2" s="1"/>
  <c r="E2" i="2"/>
  <c r="F2" i="2" s="1"/>
</calcChain>
</file>

<file path=xl/sharedStrings.xml><?xml version="1.0" encoding="utf-8"?>
<sst xmlns="http://schemas.openxmlformats.org/spreadsheetml/2006/main" count="153" uniqueCount="34">
  <si>
    <t>coded_meanarrivaltime</t>
  </si>
  <si>
    <t>arrival_pattern</t>
  </si>
  <si>
    <t>EXP</t>
  </si>
  <si>
    <t>FIX</t>
  </si>
  <si>
    <t>NO</t>
  </si>
  <si>
    <t>assignment_strategy</t>
  </si>
  <si>
    <t>BU</t>
  </si>
  <si>
    <t>RA</t>
  </si>
  <si>
    <t>SQ</t>
  </si>
  <si>
    <t>TD</t>
  </si>
  <si>
    <t>throughput</t>
  </si>
  <si>
    <t>mopt</t>
  </si>
  <si>
    <t>seed</t>
  </si>
  <si>
    <t>meanarrivaltime</t>
  </si>
  <si>
    <t>parameter (t,lambda, mu,sigma)</t>
  </si>
  <si>
    <t>median opt</t>
  </si>
  <si>
    <t>75% opt</t>
  </si>
  <si>
    <t>90% opt</t>
  </si>
  <si>
    <t>0% opt</t>
  </si>
  <si>
    <t>100% opt</t>
  </si>
  <si>
    <t>20,29; 6,76</t>
  </si>
  <si>
    <t>29,95; 9,98</t>
  </si>
  <si>
    <t>27,98; 9,33</t>
  </si>
  <si>
    <t>14,07; 4,69</t>
  </si>
  <si>
    <t>12,10;  4,03</t>
  </si>
  <si>
    <t>9,99; 3,33</t>
  </si>
  <si>
    <t>29,96; 9,99</t>
  </si>
  <si>
    <t>23,46; 7,82</t>
  </si>
  <si>
    <t>28,86; 9,62</t>
  </si>
  <si>
    <t>15,33; 5,11</t>
  </si>
  <si>
    <t>18,09; 6,03</t>
  </si>
  <si>
    <t>21,22; 7,07</t>
  </si>
  <si>
    <t>16,53; 5,51</t>
  </si>
  <si>
    <t>17,54; 5,85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</si>
</sst>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7" x14ac:knownFonts="1">
    <font>
      <sz val="11"/>
      <name val="Calibri"/>
    </font>
    <font>
      <b/>
      <sz val="11"/>
      <color indexed="8"/>
      <name val="Calibri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2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3" fillId="2" borderId="0" xfId="0" applyFont="1" applyFill="1"/>
    <xf numFmtId="0" fontId="2" fillId="0" borderId="3" xfId="0" applyFont="1" applyBorder="1"/>
    <xf numFmtId="0" fontId="4" fillId="0" borderId="0" xfId="0" applyFont="1"/>
    <xf numFmtId="3" fontId="0" fillId="0" borderId="0" xfId="0" applyNumberFormat="1"/>
    <xf numFmtId="0" fontId="3" fillId="0" borderId="0" xfId="0" applyFont="1"/>
    <xf numFmtId="4" fontId="3" fillId="0" borderId="0" xfId="0" applyNumberFormat="1" applyFont="1"/>
    <xf numFmtId="2" fontId="0" fillId="2" borderId="0" xfId="0" applyNumberFormat="1" applyFill="1"/>
    <xf numFmtId="0" fontId="6" fillId="0" borderId="4" xfId="0" applyFont="1" applyBorder="1"/>
    <xf numFmtId="0" fontId="6" fillId="0" borderId="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985D-6FB8-4BF1-A0FF-EF282C43135B}">
  <dimension ref="A1:M61"/>
  <sheetViews>
    <sheetView tabSelected="1" zoomScale="110" zoomScaleNormal="110" workbookViewId="0">
      <selection activeCell="F46" sqref="F46"/>
    </sheetView>
  </sheetViews>
  <sheetFormatPr baseColWidth="10" defaultRowHeight="14.5" x14ac:dyDescent="0.35"/>
  <cols>
    <col min="1" max="1" width="11.90625" bestFit="1" customWidth="1"/>
    <col min="3" max="3" width="10.6328125" customWidth="1"/>
    <col min="5" max="5" width="15.453125" customWidth="1"/>
    <col min="6" max="6" width="28.26953125" customWidth="1"/>
  </cols>
  <sheetData>
    <row r="1" spans="1:13" x14ac:dyDescent="0.35">
      <c r="A1" s="1" t="s">
        <v>0</v>
      </c>
      <c r="B1" s="5" t="s">
        <v>1</v>
      </c>
      <c r="C1" s="5" t="s">
        <v>5</v>
      </c>
      <c r="D1" s="8" t="s">
        <v>12</v>
      </c>
      <c r="E1" s="3" t="s">
        <v>13</v>
      </c>
      <c r="F1" s="8" t="s">
        <v>14</v>
      </c>
      <c r="G1" s="1" t="s">
        <v>10</v>
      </c>
      <c r="H1" s="3" t="s">
        <v>11</v>
      </c>
      <c r="I1" s="15" t="s">
        <v>15</v>
      </c>
      <c r="J1" s="15" t="s">
        <v>18</v>
      </c>
      <c r="K1" s="15" t="s">
        <v>19</v>
      </c>
      <c r="L1" s="15" t="s">
        <v>16</v>
      </c>
      <c r="M1" s="15" t="s">
        <v>17</v>
      </c>
    </row>
    <row r="2" spans="1:13" x14ac:dyDescent="0.35">
      <c r="A2" s="4">
        <v>-0.53457469657742196</v>
      </c>
      <c r="B2" s="6" t="s">
        <v>2</v>
      </c>
      <c r="C2" s="6" t="s">
        <v>6</v>
      </c>
      <c r="D2" s="7">
        <v>568971862</v>
      </c>
      <c r="E2" s="10">
        <f t="shared" ref="E2:E61" si="0">A2*10+20</f>
        <v>14.65425303422578</v>
      </c>
      <c r="F2" s="7">
        <f>ROUND(1/E2,2)</f>
        <v>7.0000000000000007E-2</v>
      </c>
      <c r="G2">
        <v>10161</v>
      </c>
      <c r="H2" s="11">
        <v>194.6</v>
      </c>
      <c r="I2">
        <v>216.91</v>
      </c>
      <c r="J2">
        <v>86.03</v>
      </c>
      <c r="K2" s="11">
        <v>352.3</v>
      </c>
      <c r="L2">
        <v>272.31</v>
      </c>
      <c r="M2">
        <v>290.52999999999997</v>
      </c>
    </row>
    <row r="3" spans="1:13" x14ac:dyDescent="0.35">
      <c r="A3" s="2">
        <v>-0.99993554223325831</v>
      </c>
      <c r="B3" s="6" t="s">
        <v>3</v>
      </c>
      <c r="C3" s="6" t="s">
        <v>7</v>
      </c>
      <c r="D3" s="7">
        <v>948991452</v>
      </c>
      <c r="E3" s="10">
        <f t="shared" si="0"/>
        <v>10.000644577667417</v>
      </c>
      <c r="F3" s="7">
        <f t="shared" ref="F3:F37" si="1">ROUND(E3,2)</f>
        <v>10</v>
      </c>
      <c r="G3">
        <v>13224</v>
      </c>
      <c r="H3" s="10">
        <v>6795.13</v>
      </c>
      <c r="I3">
        <v>7100.74</v>
      </c>
      <c r="J3">
        <v>90.44</v>
      </c>
      <c r="K3">
        <v>12435.79</v>
      </c>
      <c r="L3">
        <v>9749.44</v>
      </c>
      <c r="M3" s="16">
        <v>10851.83</v>
      </c>
    </row>
    <row r="4" spans="1:13" x14ac:dyDescent="0.35">
      <c r="A4" s="2">
        <v>0.27521647758559176</v>
      </c>
      <c r="B4" s="6" t="s">
        <v>2</v>
      </c>
      <c r="C4" s="6" t="s">
        <v>7</v>
      </c>
      <c r="D4" s="7">
        <v>972923303</v>
      </c>
      <c r="E4" s="10">
        <f t="shared" si="0"/>
        <v>22.752164775855917</v>
      </c>
      <c r="F4" s="7">
        <f>ROUND(1/E4,2)</f>
        <v>0.04</v>
      </c>
      <c r="G4">
        <v>5915</v>
      </c>
      <c r="H4" s="11">
        <v>153.22999999999999</v>
      </c>
      <c r="I4">
        <v>113.77</v>
      </c>
      <c r="J4">
        <v>88.99</v>
      </c>
      <c r="K4">
        <v>387.11</v>
      </c>
      <c r="L4" s="11">
        <v>203.47</v>
      </c>
      <c r="M4">
        <v>264.81</v>
      </c>
    </row>
    <row r="5" spans="1:13" x14ac:dyDescent="0.35">
      <c r="A5" s="2">
        <v>-0.72270078944168081</v>
      </c>
      <c r="B5" s="6" t="s">
        <v>3</v>
      </c>
      <c r="C5" s="6" t="s">
        <v>8</v>
      </c>
      <c r="D5" s="7">
        <v>741015558</v>
      </c>
      <c r="E5" s="10">
        <f t="shared" si="0"/>
        <v>12.772992105583192</v>
      </c>
      <c r="F5" s="7">
        <f t="shared" si="1"/>
        <v>12.77</v>
      </c>
      <c r="G5">
        <v>11267</v>
      </c>
      <c r="H5" s="10">
        <v>134.81</v>
      </c>
      <c r="I5" s="17">
        <v>106.54</v>
      </c>
      <c r="J5" s="17">
        <v>87.53</v>
      </c>
      <c r="K5">
        <v>322.51</v>
      </c>
      <c r="L5" s="17">
        <v>141.44</v>
      </c>
      <c r="M5" s="11">
        <v>238.22</v>
      </c>
    </row>
    <row r="6" spans="1:13" x14ac:dyDescent="0.35">
      <c r="A6" s="2">
        <v>0.73268806083718696</v>
      </c>
      <c r="B6" s="6" t="s">
        <v>2</v>
      </c>
      <c r="C6" s="6" t="s">
        <v>8</v>
      </c>
      <c r="D6" s="7">
        <v>972693767</v>
      </c>
      <c r="E6" s="10">
        <f t="shared" si="0"/>
        <v>27.326880608371869</v>
      </c>
      <c r="F6" s="7">
        <f>ROUND(1/E6,2)</f>
        <v>0.04</v>
      </c>
      <c r="G6">
        <v>5716</v>
      </c>
      <c r="H6" s="10">
        <v>131.47999999999999</v>
      </c>
      <c r="I6" s="17">
        <v>108.81</v>
      </c>
      <c r="J6" s="17">
        <v>88.16</v>
      </c>
      <c r="K6" s="17">
        <v>313.63</v>
      </c>
      <c r="L6" s="17">
        <v>121.11</v>
      </c>
      <c r="M6" s="17">
        <v>229.51</v>
      </c>
    </row>
    <row r="7" spans="1:13" x14ac:dyDescent="0.35">
      <c r="A7" s="2">
        <v>3.1848055791038887E-2</v>
      </c>
      <c r="B7" s="6" t="s">
        <v>4</v>
      </c>
      <c r="C7" s="6" t="s">
        <v>6</v>
      </c>
      <c r="D7" s="7">
        <v>467700105</v>
      </c>
      <c r="E7" s="10">
        <f t="shared" si="0"/>
        <v>20.318480557910387</v>
      </c>
      <c r="F7" s="7" t="s">
        <v>20</v>
      </c>
      <c r="G7">
        <v>7091</v>
      </c>
      <c r="H7" s="10">
        <v>185.41</v>
      </c>
      <c r="I7" s="17">
        <v>171.05</v>
      </c>
      <c r="J7" s="17">
        <v>86.34</v>
      </c>
      <c r="K7" s="18">
        <v>334.88</v>
      </c>
      <c r="L7" s="17">
        <v>270.93</v>
      </c>
      <c r="M7" s="11">
        <v>285.33</v>
      </c>
    </row>
    <row r="8" spans="1:13" x14ac:dyDescent="0.35">
      <c r="A8" s="2">
        <v>0.58057839683283974</v>
      </c>
      <c r="B8" s="6" t="s">
        <v>3</v>
      </c>
      <c r="C8" s="6" t="s">
        <v>9</v>
      </c>
      <c r="D8" s="7">
        <v>459337911</v>
      </c>
      <c r="E8" s="10">
        <f t="shared" si="0"/>
        <v>25.805783968328399</v>
      </c>
      <c r="F8" s="7">
        <f t="shared" si="1"/>
        <v>25.81</v>
      </c>
      <c r="G8">
        <v>5574</v>
      </c>
      <c r="H8" s="10">
        <v>142.79</v>
      </c>
      <c r="I8" s="17">
        <v>115.76</v>
      </c>
      <c r="J8" s="17">
        <v>88.24</v>
      </c>
      <c r="K8">
        <v>210.82</v>
      </c>
      <c r="L8" s="11">
        <v>183.88</v>
      </c>
      <c r="M8" s="11">
        <v>201.39</v>
      </c>
    </row>
    <row r="9" spans="1:13" x14ac:dyDescent="0.35">
      <c r="A9" s="2">
        <v>-0.15085153614676172</v>
      </c>
      <c r="B9" s="6" t="s">
        <v>3</v>
      </c>
      <c r="C9" s="6" t="s">
        <v>6</v>
      </c>
      <c r="D9" s="7">
        <v>610849846</v>
      </c>
      <c r="E9" s="10">
        <f t="shared" si="0"/>
        <v>18.491484638532384</v>
      </c>
      <c r="F9" s="7">
        <f t="shared" si="1"/>
        <v>18.489999999999998</v>
      </c>
      <c r="G9">
        <v>7777</v>
      </c>
      <c r="H9" s="11">
        <v>187.63</v>
      </c>
      <c r="I9" s="17">
        <v>187.59</v>
      </c>
      <c r="J9">
        <v>87.58</v>
      </c>
      <c r="K9" s="11">
        <v>328.69</v>
      </c>
      <c r="L9">
        <v>271.26</v>
      </c>
      <c r="M9" s="11">
        <v>283.68</v>
      </c>
    </row>
    <row r="10" spans="1:13" x14ac:dyDescent="0.35">
      <c r="A10" s="2">
        <v>0.17936095464013574</v>
      </c>
      <c r="B10" s="6" t="s">
        <v>3</v>
      </c>
      <c r="C10" s="6" t="s">
        <v>6</v>
      </c>
      <c r="D10" s="7">
        <v>168336462</v>
      </c>
      <c r="E10" s="10">
        <f t="shared" si="0"/>
        <v>21.793609546401356</v>
      </c>
      <c r="F10" s="7">
        <f t="shared" si="1"/>
        <v>21.79</v>
      </c>
      <c r="G10">
        <v>6600</v>
      </c>
      <c r="H10" s="11">
        <v>183.68</v>
      </c>
      <c r="I10">
        <v>137.66999999999999</v>
      </c>
      <c r="J10">
        <v>85.42</v>
      </c>
      <c r="K10" s="11">
        <v>321.14</v>
      </c>
      <c r="L10">
        <v>270.12</v>
      </c>
      <c r="M10" s="11">
        <v>284.07</v>
      </c>
    </row>
    <row r="11" spans="1:13" x14ac:dyDescent="0.35">
      <c r="A11" s="2">
        <v>0.34881000469848977</v>
      </c>
      <c r="B11" s="6" t="s">
        <v>4</v>
      </c>
      <c r="C11" s="6" t="s">
        <v>8</v>
      </c>
      <c r="D11" s="7">
        <v>70208427</v>
      </c>
      <c r="E11" s="10">
        <f t="shared" si="0"/>
        <v>23.488100046984897</v>
      </c>
      <c r="F11" s="7" t="s">
        <v>27</v>
      </c>
      <c r="G11">
        <v>6123</v>
      </c>
      <c r="H11" s="11">
        <v>129.26</v>
      </c>
      <c r="I11">
        <v>107.35</v>
      </c>
      <c r="J11">
        <v>88.77</v>
      </c>
      <c r="K11" s="11">
        <v>308.91000000000003</v>
      </c>
      <c r="L11">
        <v>118.51</v>
      </c>
      <c r="M11" s="11">
        <v>227.4</v>
      </c>
    </row>
    <row r="12" spans="1:13" x14ac:dyDescent="0.35">
      <c r="A12" s="2">
        <v>9.7892649983005897E-2</v>
      </c>
      <c r="B12" s="6" t="s">
        <v>2</v>
      </c>
      <c r="C12" s="6" t="s">
        <v>6</v>
      </c>
      <c r="D12" s="7">
        <v>53286692</v>
      </c>
      <c r="E12" s="10">
        <f t="shared" si="0"/>
        <v>20.97892649983006</v>
      </c>
      <c r="F12" s="7">
        <f>ROUND(1/E12,2)</f>
        <v>0.05</v>
      </c>
      <c r="G12">
        <v>7125</v>
      </c>
      <c r="H12" s="11">
        <v>189.87</v>
      </c>
      <c r="I12">
        <v>191.12</v>
      </c>
      <c r="J12">
        <v>84.25</v>
      </c>
      <c r="K12">
        <v>401.86</v>
      </c>
      <c r="L12">
        <v>270.77</v>
      </c>
      <c r="M12" s="11">
        <v>288.26</v>
      </c>
    </row>
    <row r="13" spans="1:13" x14ac:dyDescent="0.35">
      <c r="A13" s="2">
        <v>0.99870642647086949</v>
      </c>
      <c r="B13" s="6" t="s">
        <v>4</v>
      </c>
      <c r="C13" s="6" t="s">
        <v>9</v>
      </c>
      <c r="D13" s="7">
        <v>830979508</v>
      </c>
      <c r="E13" s="10">
        <f t="shared" si="0"/>
        <v>29.987064264708692</v>
      </c>
      <c r="F13" s="7" t="s">
        <v>21</v>
      </c>
      <c r="G13">
        <v>4760</v>
      </c>
      <c r="H13" s="11">
        <v>135.13999999999999</v>
      </c>
      <c r="I13" s="10">
        <v>114.3</v>
      </c>
      <c r="J13">
        <v>87.93</v>
      </c>
      <c r="K13" s="11">
        <v>237.9</v>
      </c>
      <c r="L13">
        <v>174.47</v>
      </c>
      <c r="M13" s="11">
        <v>191.74</v>
      </c>
    </row>
    <row r="14" spans="1:13" x14ac:dyDescent="0.35">
      <c r="A14" s="9">
        <v>0.88963378029392726</v>
      </c>
      <c r="B14" s="6" t="s">
        <v>4</v>
      </c>
      <c r="C14" s="6" t="s">
        <v>7</v>
      </c>
      <c r="D14" s="7">
        <v>501631552</v>
      </c>
      <c r="E14" s="10">
        <f t="shared" si="0"/>
        <v>28.896337802939271</v>
      </c>
      <c r="F14" s="7" t="s">
        <v>28</v>
      </c>
      <c r="G14" s="7">
        <v>5023</v>
      </c>
      <c r="H14" s="12">
        <v>143.09</v>
      </c>
      <c r="I14" s="10">
        <v>108.8</v>
      </c>
      <c r="J14">
        <v>88.57</v>
      </c>
      <c r="K14">
        <v>413.86</v>
      </c>
      <c r="L14">
        <v>187.99</v>
      </c>
      <c r="M14">
        <v>253.19</v>
      </c>
    </row>
    <row r="15" spans="1:13" x14ac:dyDescent="0.35">
      <c r="A15" s="2">
        <v>0.94436977428587587</v>
      </c>
      <c r="B15" s="6" t="s">
        <v>3</v>
      </c>
      <c r="C15" s="6" t="s">
        <v>8</v>
      </c>
      <c r="D15" s="7">
        <v>716279560</v>
      </c>
      <c r="E15" s="10">
        <f t="shared" si="0"/>
        <v>29.44369774285876</v>
      </c>
      <c r="F15" s="7">
        <f t="shared" si="1"/>
        <v>29.44</v>
      </c>
      <c r="G15">
        <v>4886</v>
      </c>
      <c r="H15" s="11">
        <v>129.35</v>
      </c>
      <c r="I15">
        <v>110.71</v>
      </c>
      <c r="J15">
        <v>92.25</v>
      </c>
      <c r="K15" s="11">
        <v>310.11</v>
      </c>
      <c r="L15" s="10">
        <v>118.4</v>
      </c>
      <c r="M15">
        <v>225.85</v>
      </c>
    </row>
    <row r="16" spans="1:13" x14ac:dyDescent="0.35">
      <c r="A16" s="2">
        <v>-0.46499088102252728</v>
      </c>
      <c r="B16" s="6" t="s">
        <v>4</v>
      </c>
      <c r="C16" s="6" t="s">
        <v>6</v>
      </c>
      <c r="D16" s="7">
        <v>728588962</v>
      </c>
      <c r="E16" s="10">
        <f t="shared" si="0"/>
        <v>15.350091189774727</v>
      </c>
      <c r="F16" s="7" t="s">
        <v>29</v>
      </c>
      <c r="G16">
        <v>9381</v>
      </c>
      <c r="H16" s="11">
        <v>195.55</v>
      </c>
      <c r="I16" s="11">
        <v>233</v>
      </c>
      <c r="J16">
        <v>86.08</v>
      </c>
      <c r="K16">
        <v>335.87</v>
      </c>
      <c r="L16" s="11">
        <v>273.85000000000002</v>
      </c>
      <c r="M16">
        <v>287.23</v>
      </c>
    </row>
    <row r="17" spans="1:13" x14ac:dyDescent="0.35">
      <c r="A17" s="2">
        <v>-0.187841137492955</v>
      </c>
      <c r="B17" s="6" t="s">
        <v>4</v>
      </c>
      <c r="C17" s="6" t="s">
        <v>8</v>
      </c>
      <c r="D17" s="7">
        <v>575162052</v>
      </c>
      <c r="E17" s="10">
        <f t="shared" si="0"/>
        <v>18.121588625070451</v>
      </c>
      <c r="F17" s="7" t="s">
        <v>30</v>
      </c>
      <c r="G17">
        <v>7907</v>
      </c>
      <c r="H17" s="11">
        <v>130.47999999999999</v>
      </c>
      <c r="I17" s="11">
        <v>106.83</v>
      </c>
      <c r="J17">
        <v>87.93</v>
      </c>
      <c r="K17">
        <v>322.49</v>
      </c>
      <c r="L17">
        <v>118.34</v>
      </c>
      <c r="M17">
        <v>231.77</v>
      </c>
    </row>
    <row r="18" spans="1:13" x14ac:dyDescent="0.35">
      <c r="A18" s="2">
        <v>0.41996497540733069</v>
      </c>
      <c r="B18" s="6" t="s">
        <v>2</v>
      </c>
      <c r="C18" s="6" t="s">
        <v>9</v>
      </c>
      <c r="D18" s="7">
        <v>324768469</v>
      </c>
      <c r="E18" s="10">
        <f t="shared" si="0"/>
        <v>24.199649754073306</v>
      </c>
      <c r="F18" s="7">
        <f>ROUND(1/E18,2)</f>
        <v>0.04</v>
      </c>
      <c r="G18">
        <v>5766</v>
      </c>
      <c r="H18" s="11">
        <v>148.55000000000001</v>
      </c>
      <c r="I18">
        <v>129.05000000000001</v>
      </c>
      <c r="J18" s="11">
        <v>88.94</v>
      </c>
      <c r="K18">
        <v>297.94</v>
      </c>
      <c r="L18">
        <v>191.52</v>
      </c>
      <c r="M18">
        <v>213.52</v>
      </c>
    </row>
    <row r="19" spans="1:13" x14ac:dyDescent="0.35">
      <c r="A19" s="2">
        <v>0.48341700596894011</v>
      </c>
      <c r="B19" s="6" t="s">
        <v>3</v>
      </c>
      <c r="C19" s="6" t="s">
        <v>7</v>
      </c>
      <c r="D19" s="7">
        <v>233850476</v>
      </c>
      <c r="E19" s="10">
        <f t="shared" si="0"/>
        <v>24.834170059689402</v>
      </c>
      <c r="F19" s="19">
        <f>ROUND(E19,2)</f>
        <v>24.83</v>
      </c>
      <c r="G19">
        <v>5790</v>
      </c>
      <c r="H19" s="11">
        <v>145.09</v>
      </c>
      <c r="I19" s="11">
        <v>109</v>
      </c>
      <c r="J19">
        <v>88.11</v>
      </c>
      <c r="K19" s="11">
        <v>420.91</v>
      </c>
      <c r="L19">
        <v>190.86</v>
      </c>
      <c r="M19" s="10">
        <v>254.8</v>
      </c>
    </row>
    <row r="20" spans="1:13" x14ac:dyDescent="0.35">
      <c r="A20" s="2">
        <v>-0.40766824847444338</v>
      </c>
      <c r="B20" s="6" t="s">
        <v>3</v>
      </c>
      <c r="C20" s="6" t="s">
        <v>9</v>
      </c>
      <c r="D20" s="7">
        <v>985522662</v>
      </c>
      <c r="E20" s="10">
        <f t="shared" si="0"/>
        <v>15.923317515255565</v>
      </c>
      <c r="F20" s="7">
        <f t="shared" si="1"/>
        <v>15.92</v>
      </c>
      <c r="G20">
        <v>9036</v>
      </c>
      <c r="H20" s="11">
        <v>162.02000000000001</v>
      </c>
      <c r="I20" s="10">
        <v>164.3</v>
      </c>
      <c r="J20" s="11">
        <v>87.46</v>
      </c>
      <c r="K20" s="11">
        <v>258.17</v>
      </c>
      <c r="L20" s="11">
        <v>207.78</v>
      </c>
      <c r="M20">
        <v>221.33</v>
      </c>
    </row>
    <row r="21" spans="1:13" x14ac:dyDescent="0.35">
      <c r="A21" s="2">
        <v>6.6730141205121773E-2</v>
      </c>
      <c r="B21" s="6" t="s">
        <v>3</v>
      </c>
      <c r="C21" s="6" t="s">
        <v>9</v>
      </c>
      <c r="D21" s="7">
        <v>902843148</v>
      </c>
      <c r="E21" s="10">
        <f t="shared" si="0"/>
        <v>20.667301412051216</v>
      </c>
      <c r="F21" s="7">
        <f t="shared" si="1"/>
        <v>20.67</v>
      </c>
      <c r="G21">
        <v>6959</v>
      </c>
      <c r="H21" s="11">
        <v>158.88999999999999</v>
      </c>
      <c r="I21">
        <v>179.62</v>
      </c>
      <c r="J21" s="11">
        <v>87.07</v>
      </c>
      <c r="K21">
        <v>247.66</v>
      </c>
      <c r="L21" s="11">
        <v>199.02</v>
      </c>
      <c r="M21">
        <v>211.32</v>
      </c>
    </row>
    <row r="22" spans="1:13" x14ac:dyDescent="0.35">
      <c r="A22" s="2">
        <v>-0.21872825232275211</v>
      </c>
      <c r="B22" s="6" t="s">
        <v>3</v>
      </c>
      <c r="C22" s="6" t="s">
        <v>8</v>
      </c>
      <c r="D22" s="7">
        <v>640324075</v>
      </c>
      <c r="E22" s="10">
        <f>A22*10+20</f>
        <v>17.81271747677248</v>
      </c>
      <c r="F22" s="7">
        <f t="shared" si="1"/>
        <v>17.809999999999999</v>
      </c>
      <c r="G22">
        <v>8078</v>
      </c>
      <c r="H22" s="11">
        <v>129.78</v>
      </c>
      <c r="I22">
        <v>106.93</v>
      </c>
      <c r="J22" s="11">
        <v>86.24</v>
      </c>
      <c r="K22" s="11">
        <v>314.22000000000003</v>
      </c>
      <c r="L22" s="11">
        <v>116.99</v>
      </c>
      <c r="M22">
        <v>231.27</v>
      </c>
    </row>
    <row r="23" spans="1:13" x14ac:dyDescent="0.35">
      <c r="A23" s="2">
        <v>0.12526874296612511</v>
      </c>
      <c r="B23" s="6" t="s">
        <v>4</v>
      </c>
      <c r="C23" s="6" t="s">
        <v>7</v>
      </c>
      <c r="D23" s="7">
        <v>539839369</v>
      </c>
      <c r="E23" s="10">
        <f t="shared" si="0"/>
        <v>21.25268742966125</v>
      </c>
      <c r="F23" s="13" t="s">
        <v>31</v>
      </c>
      <c r="G23">
        <v>6718</v>
      </c>
      <c r="H23" s="11">
        <v>149.63</v>
      </c>
      <c r="I23">
        <v>111.85</v>
      </c>
      <c r="J23" s="11">
        <v>87.12</v>
      </c>
      <c r="K23" s="11">
        <v>453.18</v>
      </c>
      <c r="L23" s="11">
        <v>197.11</v>
      </c>
      <c r="M23">
        <v>257.83999999999997</v>
      </c>
    </row>
    <row r="24" spans="1:13" x14ac:dyDescent="0.35">
      <c r="A24" s="2">
        <v>-0.3446235299783868</v>
      </c>
      <c r="B24" s="6" t="s">
        <v>4</v>
      </c>
      <c r="C24" s="6" t="s">
        <v>8</v>
      </c>
      <c r="D24" s="7">
        <v>7260022</v>
      </c>
      <c r="E24" s="10">
        <f t="shared" si="0"/>
        <v>16.553764700216131</v>
      </c>
      <c r="F24" s="13" t="s">
        <v>32</v>
      </c>
      <c r="G24">
        <v>8655</v>
      </c>
      <c r="H24" s="11">
        <v>130.87</v>
      </c>
      <c r="I24">
        <v>106.77</v>
      </c>
      <c r="J24" s="11">
        <v>86.92</v>
      </c>
      <c r="K24" s="11">
        <v>318.45999999999998</v>
      </c>
      <c r="L24" s="11">
        <v>118.87</v>
      </c>
      <c r="M24">
        <v>234.41</v>
      </c>
    </row>
    <row r="25" spans="1:13" x14ac:dyDescent="0.35">
      <c r="A25" s="2">
        <v>-0.29733079452874622</v>
      </c>
      <c r="B25" s="6" t="s">
        <v>2</v>
      </c>
      <c r="C25" s="6" t="s">
        <v>7</v>
      </c>
      <c r="D25" s="7">
        <v>145534203</v>
      </c>
      <c r="E25" s="10">
        <f t="shared" si="0"/>
        <v>17.026692054712537</v>
      </c>
      <c r="F25" s="7">
        <f>ROUND(1/E25,2)</f>
        <v>0.06</v>
      </c>
      <c r="G25">
        <v>8590</v>
      </c>
      <c r="H25" s="11">
        <v>171.72</v>
      </c>
      <c r="I25" s="11">
        <v>136.55000000000001</v>
      </c>
      <c r="J25" s="11">
        <v>85.26</v>
      </c>
      <c r="K25" s="11">
        <v>587.67999999999995</v>
      </c>
      <c r="L25" s="11">
        <v>233.9</v>
      </c>
      <c r="M25" s="11">
        <v>279.7</v>
      </c>
    </row>
    <row r="26" spans="1:13" x14ac:dyDescent="0.35">
      <c r="A26" s="2">
        <v>0.80188415283424974</v>
      </c>
      <c r="B26" s="6" t="s">
        <v>4</v>
      </c>
      <c r="C26" s="6" t="s">
        <v>6</v>
      </c>
      <c r="D26" s="7">
        <v>581456739</v>
      </c>
      <c r="E26" s="10">
        <f t="shared" si="0"/>
        <v>28.018841528342499</v>
      </c>
      <c r="F26" s="13" t="s">
        <v>22</v>
      </c>
      <c r="G26">
        <v>5145</v>
      </c>
      <c r="H26" s="11">
        <v>183.02</v>
      </c>
      <c r="I26" s="11">
        <v>150.47</v>
      </c>
      <c r="J26">
        <v>85.35</v>
      </c>
      <c r="K26" s="11">
        <v>320.60000000000002</v>
      </c>
      <c r="L26" s="11">
        <v>268.02999999999997</v>
      </c>
      <c r="M26" s="11">
        <v>279.93</v>
      </c>
    </row>
    <row r="27" spans="1:13" x14ac:dyDescent="0.35">
      <c r="A27" s="2">
        <v>5.3758327874242617E-3</v>
      </c>
      <c r="B27" s="6" t="s">
        <v>2</v>
      </c>
      <c r="C27" s="6" t="s">
        <v>9</v>
      </c>
      <c r="D27" s="7">
        <v>774137703</v>
      </c>
      <c r="E27" s="10">
        <f t="shared" si="0"/>
        <v>20.053758327874242</v>
      </c>
      <c r="F27" s="7">
        <f>ROUND(1/E27,2)</f>
        <v>0.05</v>
      </c>
      <c r="G27">
        <v>7003</v>
      </c>
      <c r="H27" s="11">
        <v>156.18</v>
      </c>
      <c r="I27">
        <v>136.11000000000001</v>
      </c>
      <c r="J27" s="11">
        <v>90.57</v>
      </c>
      <c r="K27" s="11">
        <v>306.20999999999998</v>
      </c>
      <c r="L27" s="11">
        <v>200.51</v>
      </c>
      <c r="M27">
        <v>222.59</v>
      </c>
    </row>
    <row r="28" spans="1:13" x14ac:dyDescent="0.35">
      <c r="A28" s="2">
        <v>-0.86444305435961244</v>
      </c>
      <c r="B28" s="6" t="s">
        <v>2</v>
      </c>
      <c r="C28" s="6" t="s">
        <v>9</v>
      </c>
      <c r="D28" s="7">
        <v>974296023</v>
      </c>
      <c r="E28" s="10">
        <f t="shared" si="0"/>
        <v>11.355569456403876</v>
      </c>
      <c r="F28" s="7">
        <f>ROUND(1/E28,2)</f>
        <v>0.09</v>
      </c>
      <c r="G28">
        <v>12871</v>
      </c>
      <c r="H28" s="11">
        <v>183.06</v>
      </c>
      <c r="I28">
        <v>188.65</v>
      </c>
      <c r="J28" s="11">
        <v>88.27</v>
      </c>
      <c r="K28">
        <v>420.89</v>
      </c>
      <c r="L28" s="11">
        <v>231.75</v>
      </c>
      <c r="M28">
        <v>271.07</v>
      </c>
    </row>
    <row r="29" spans="1:13" x14ac:dyDescent="0.35">
      <c r="A29" s="2">
        <v>-0.59089757110499663</v>
      </c>
      <c r="B29" s="6" t="s">
        <v>4</v>
      </c>
      <c r="C29" s="6" t="s">
        <v>7</v>
      </c>
      <c r="D29" s="7">
        <v>768772969</v>
      </c>
      <c r="E29" s="10">
        <f t="shared" si="0"/>
        <v>14.091024288950035</v>
      </c>
      <c r="F29" s="13" t="s">
        <v>23</v>
      </c>
      <c r="G29">
        <v>10202</v>
      </c>
      <c r="H29" s="11">
        <v>175.3</v>
      </c>
      <c r="I29" s="11">
        <v>151.63</v>
      </c>
      <c r="J29">
        <v>86.19</v>
      </c>
      <c r="K29" s="11">
        <v>590.16</v>
      </c>
      <c r="L29">
        <v>235.95</v>
      </c>
      <c r="M29" s="11">
        <v>280.20999999999998</v>
      </c>
    </row>
    <row r="30" spans="1:13" x14ac:dyDescent="0.35">
      <c r="A30" s="2">
        <v>-0.92092763349457063</v>
      </c>
      <c r="B30" s="6" t="s">
        <v>3</v>
      </c>
      <c r="C30" s="6" t="s">
        <v>6</v>
      </c>
      <c r="D30" s="7">
        <v>277807241</v>
      </c>
      <c r="E30" s="10">
        <f t="shared" si="0"/>
        <v>10.790723665054294</v>
      </c>
      <c r="F30" s="7">
        <f t="shared" si="1"/>
        <v>10.79</v>
      </c>
      <c r="G30">
        <v>13327</v>
      </c>
      <c r="H30" s="11">
        <v>200.89</v>
      </c>
      <c r="I30" s="11">
        <v>234.85</v>
      </c>
      <c r="J30" s="11">
        <v>83.44</v>
      </c>
      <c r="K30" s="11">
        <v>404.19</v>
      </c>
      <c r="L30" s="11">
        <v>275.08</v>
      </c>
      <c r="M30" s="11">
        <v>288.06</v>
      </c>
    </row>
    <row r="31" spans="1:13" x14ac:dyDescent="0.35">
      <c r="A31" s="2">
        <v>-0.78765278579092246</v>
      </c>
      <c r="B31" s="6" t="s">
        <v>4</v>
      </c>
      <c r="C31" s="6" t="s">
        <v>9</v>
      </c>
      <c r="D31" s="7">
        <v>405193582</v>
      </c>
      <c r="E31" s="10">
        <f t="shared" si="0"/>
        <v>12.123472142090776</v>
      </c>
      <c r="F31" s="13" t="s">
        <v>24</v>
      </c>
      <c r="G31">
        <v>11774</v>
      </c>
      <c r="H31" s="11">
        <v>179.39</v>
      </c>
      <c r="I31" s="11">
        <v>198.2</v>
      </c>
      <c r="J31" s="11">
        <v>86.44</v>
      </c>
      <c r="K31">
        <v>326.08999999999997</v>
      </c>
      <c r="L31">
        <v>224.48</v>
      </c>
      <c r="M31" s="11">
        <v>257.10000000000002</v>
      </c>
    </row>
    <row r="32" spans="1:13" x14ac:dyDescent="0.35">
      <c r="A32" s="2">
        <v>-3.3361355323978548E-2</v>
      </c>
      <c r="B32" s="6" t="s">
        <v>2</v>
      </c>
      <c r="C32" s="6" t="s">
        <v>8</v>
      </c>
      <c r="D32" s="7">
        <v>384195683</v>
      </c>
      <c r="E32" s="10">
        <f t="shared" si="0"/>
        <v>19.666386446760214</v>
      </c>
      <c r="F32" s="7">
        <f>ROUND(1/E32,2)</f>
        <v>0.05</v>
      </c>
      <c r="G32">
        <v>7442</v>
      </c>
      <c r="H32" s="11">
        <v>134.31</v>
      </c>
      <c r="I32">
        <v>109.06</v>
      </c>
      <c r="J32" s="11">
        <v>87.8</v>
      </c>
      <c r="K32" s="11">
        <v>331.61</v>
      </c>
      <c r="L32">
        <v>128.21</v>
      </c>
      <c r="M32" s="10">
        <v>235.2</v>
      </c>
    </row>
    <row r="33" spans="1:13" x14ac:dyDescent="0.35">
      <c r="A33" s="2">
        <v>0.64716523962429062</v>
      </c>
      <c r="B33" s="6" t="s">
        <v>2</v>
      </c>
      <c r="C33" s="6" t="s">
        <v>6</v>
      </c>
      <c r="D33" s="7">
        <v>700291794</v>
      </c>
      <c r="E33" s="10">
        <f t="shared" si="0"/>
        <v>26.471652396242906</v>
      </c>
      <c r="F33" s="7">
        <f>ROUND(1/E33,2)</f>
        <v>0.04</v>
      </c>
      <c r="G33">
        <v>5745</v>
      </c>
      <c r="H33" s="11">
        <v>185.34</v>
      </c>
      <c r="I33">
        <v>166.89</v>
      </c>
      <c r="J33" s="11">
        <v>86.06</v>
      </c>
      <c r="K33">
        <v>368.99</v>
      </c>
      <c r="L33">
        <v>267.82</v>
      </c>
      <c r="M33" s="11">
        <v>286.35000000000002</v>
      </c>
    </row>
    <row r="34" spans="1:13" x14ac:dyDescent="0.35">
      <c r="A34" s="2">
        <v>-0.64933011850776612</v>
      </c>
      <c r="B34" s="6" t="s">
        <v>2</v>
      </c>
      <c r="C34" s="6" t="s">
        <v>8</v>
      </c>
      <c r="D34" s="7">
        <v>881636510</v>
      </c>
      <c r="E34" s="10">
        <f t="shared" si="0"/>
        <v>13.506698814922338</v>
      </c>
      <c r="F34" s="7">
        <f>ROUND(1/E34,2)</f>
        <v>7.0000000000000007E-2</v>
      </c>
      <c r="G34">
        <v>10297</v>
      </c>
      <c r="H34" s="11">
        <v>143.05000000000001</v>
      </c>
      <c r="I34">
        <v>111.93</v>
      </c>
      <c r="J34" s="11">
        <v>88.54</v>
      </c>
      <c r="K34" s="11">
        <v>355.55</v>
      </c>
      <c r="L34" s="11">
        <v>178.23</v>
      </c>
      <c r="M34">
        <v>251.79</v>
      </c>
    </row>
    <row r="35" spans="1:13" x14ac:dyDescent="0.35">
      <c r="A35" s="2">
        <v>-0.10971305384752955</v>
      </c>
      <c r="B35" s="6" t="s">
        <v>2</v>
      </c>
      <c r="C35" s="6" t="s">
        <v>7</v>
      </c>
      <c r="D35" s="7">
        <v>613937945</v>
      </c>
      <c r="E35" s="10">
        <f t="shared" si="0"/>
        <v>18.902869461524705</v>
      </c>
      <c r="F35" s="7">
        <f>ROUND(1/E35,2)</f>
        <v>0.05</v>
      </c>
      <c r="G35">
        <v>7240</v>
      </c>
      <c r="H35" s="11">
        <v>158.93</v>
      </c>
      <c r="I35">
        <v>119.08</v>
      </c>
      <c r="J35" s="11">
        <v>86.14</v>
      </c>
      <c r="K35">
        <v>470.44</v>
      </c>
      <c r="L35" s="11">
        <v>217.57</v>
      </c>
      <c r="M35" s="11">
        <v>266.7</v>
      </c>
    </row>
    <row r="36" spans="1:13" x14ac:dyDescent="0.35">
      <c r="A36" s="2">
        <v>-0.24274273926519896</v>
      </c>
      <c r="B36" s="6" t="s">
        <v>4</v>
      </c>
      <c r="C36" s="6" t="s">
        <v>9</v>
      </c>
      <c r="D36" s="7">
        <v>405840937</v>
      </c>
      <c r="E36" s="10">
        <f t="shared" si="0"/>
        <v>17.572572607348011</v>
      </c>
      <c r="F36" s="13" t="s">
        <v>33</v>
      </c>
      <c r="G36">
        <v>8203</v>
      </c>
      <c r="H36" s="11">
        <v>162.24</v>
      </c>
      <c r="I36" s="11">
        <v>160.49</v>
      </c>
      <c r="J36" s="10">
        <v>87.4</v>
      </c>
      <c r="K36">
        <v>272.35000000000002</v>
      </c>
      <c r="L36" s="11">
        <v>206.1</v>
      </c>
      <c r="M36">
        <v>227.34</v>
      </c>
    </row>
    <row r="37" spans="1:13" x14ac:dyDescent="0.35">
      <c r="A37" s="2">
        <v>-6.692909126492641E-2</v>
      </c>
      <c r="B37" s="6" t="s">
        <v>3</v>
      </c>
      <c r="C37" s="6" t="s">
        <v>7</v>
      </c>
      <c r="D37" s="7">
        <v>602196382</v>
      </c>
      <c r="E37" s="10">
        <f t="shared" si="0"/>
        <v>19.330709087350737</v>
      </c>
      <c r="F37" s="7">
        <f t="shared" si="1"/>
        <v>19.329999999999998</v>
      </c>
      <c r="G37">
        <v>7443</v>
      </c>
      <c r="H37" s="11">
        <v>155.13999999999999</v>
      </c>
      <c r="I37">
        <v>115.23</v>
      </c>
      <c r="J37">
        <v>87.64</v>
      </c>
      <c r="K37">
        <v>503.46</v>
      </c>
      <c r="L37" s="11">
        <v>207.85</v>
      </c>
      <c r="M37" s="11">
        <v>261.62</v>
      </c>
    </row>
    <row r="38" spans="1:13" x14ac:dyDescent="0.35">
      <c r="A38" s="2">
        <v>-1</v>
      </c>
      <c r="B38" s="7" t="s">
        <v>2</v>
      </c>
      <c r="C38" s="7" t="s">
        <v>6</v>
      </c>
      <c r="D38" s="7">
        <v>968749025</v>
      </c>
      <c r="E38" s="10">
        <f t="shared" si="0"/>
        <v>10</v>
      </c>
      <c r="F38" s="7">
        <f>1/10</f>
        <v>0.1</v>
      </c>
      <c r="G38">
        <v>14269</v>
      </c>
      <c r="H38" s="11">
        <v>206.06</v>
      </c>
      <c r="I38" s="11">
        <v>224.13</v>
      </c>
      <c r="J38" s="11">
        <v>84.32</v>
      </c>
      <c r="K38" s="11">
        <v>549.95000000000005</v>
      </c>
      <c r="L38">
        <v>278.64999999999998</v>
      </c>
      <c r="M38" s="11">
        <v>300.10000000000002</v>
      </c>
    </row>
    <row r="39" spans="1:13" x14ac:dyDescent="0.35">
      <c r="A39" s="2">
        <v>-1</v>
      </c>
      <c r="B39" s="7" t="s">
        <v>2</v>
      </c>
      <c r="C39" s="7" t="s">
        <v>9</v>
      </c>
      <c r="D39" s="7">
        <v>494165784</v>
      </c>
      <c r="E39" s="10">
        <f t="shared" si="0"/>
        <v>10</v>
      </c>
      <c r="F39" s="7">
        <f>1/10</f>
        <v>0.1</v>
      </c>
      <c r="G39">
        <v>14488</v>
      </c>
      <c r="H39" s="11">
        <v>192.28</v>
      </c>
      <c r="I39">
        <v>200.66</v>
      </c>
      <c r="J39" s="11">
        <v>87.32</v>
      </c>
      <c r="K39" s="11">
        <v>458.76</v>
      </c>
      <c r="L39">
        <v>249.08</v>
      </c>
      <c r="M39" s="11">
        <v>282.29000000000002</v>
      </c>
    </row>
    <row r="40" spans="1:13" x14ac:dyDescent="0.35">
      <c r="A40" s="2">
        <v>-1</v>
      </c>
      <c r="B40" s="7" t="s">
        <v>2</v>
      </c>
      <c r="C40" s="7" t="s">
        <v>7</v>
      </c>
      <c r="D40" s="7">
        <v>260483433</v>
      </c>
      <c r="E40" s="10">
        <f t="shared" si="0"/>
        <v>10</v>
      </c>
      <c r="F40" s="7">
        <f t="shared" ref="F40:F41" si="2">1/10</f>
        <v>0.1</v>
      </c>
      <c r="G40">
        <v>13494</v>
      </c>
      <c r="H40" s="11">
        <v>4932.82</v>
      </c>
      <c r="I40" s="11">
        <v>5750.74</v>
      </c>
      <c r="J40" s="11">
        <v>90.02</v>
      </c>
      <c r="K40" s="11">
        <v>9608.93</v>
      </c>
      <c r="L40" s="10">
        <v>6679.22</v>
      </c>
      <c r="M40">
        <v>7979.5</v>
      </c>
    </row>
    <row r="41" spans="1:13" x14ac:dyDescent="0.35">
      <c r="A41" s="2">
        <v>-1</v>
      </c>
      <c r="B41" s="7" t="s">
        <v>2</v>
      </c>
      <c r="C41" s="7" t="s">
        <v>8</v>
      </c>
      <c r="D41" s="7">
        <v>734358428</v>
      </c>
      <c r="E41" s="10">
        <f t="shared" si="0"/>
        <v>10</v>
      </c>
      <c r="F41" s="7">
        <f t="shared" si="2"/>
        <v>0.1</v>
      </c>
      <c r="G41">
        <v>14241</v>
      </c>
      <c r="H41" s="11">
        <v>167.87</v>
      </c>
      <c r="I41" s="11">
        <v>133.68</v>
      </c>
      <c r="J41">
        <v>86.73</v>
      </c>
      <c r="K41" s="11">
        <v>413.92</v>
      </c>
      <c r="L41" s="11">
        <v>226.91</v>
      </c>
      <c r="M41" s="11">
        <v>275.82</v>
      </c>
    </row>
    <row r="42" spans="1:13" x14ac:dyDescent="0.35">
      <c r="A42" s="2">
        <v>-1</v>
      </c>
      <c r="B42" s="7" t="s">
        <v>4</v>
      </c>
      <c r="C42" s="7" t="s">
        <v>6</v>
      </c>
      <c r="D42" s="7">
        <v>580913166</v>
      </c>
      <c r="E42" s="10">
        <f t="shared" si="0"/>
        <v>10</v>
      </c>
      <c r="F42" s="13" t="s">
        <v>25</v>
      </c>
      <c r="G42">
        <v>14395</v>
      </c>
      <c r="H42" s="11">
        <v>198.1</v>
      </c>
      <c r="I42" s="11">
        <v>225.59</v>
      </c>
      <c r="J42" s="11">
        <v>83.88</v>
      </c>
      <c r="K42" s="11">
        <v>394.98</v>
      </c>
      <c r="L42">
        <v>273.54000000000002</v>
      </c>
      <c r="M42" s="10">
        <v>289.39999999999998</v>
      </c>
    </row>
    <row r="43" spans="1:13" x14ac:dyDescent="0.35">
      <c r="A43" s="2">
        <v>-1</v>
      </c>
      <c r="B43" s="7" t="s">
        <v>4</v>
      </c>
      <c r="C43" s="7" t="s">
        <v>9</v>
      </c>
      <c r="D43" s="7">
        <v>630396595</v>
      </c>
      <c r="E43" s="10">
        <f>A43*10+20</f>
        <v>10</v>
      </c>
      <c r="F43" s="13" t="s">
        <v>25</v>
      </c>
      <c r="G43">
        <v>14358</v>
      </c>
      <c r="H43" s="11">
        <v>187.39</v>
      </c>
      <c r="I43">
        <v>205.91</v>
      </c>
      <c r="J43">
        <v>87.66</v>
      </c>
      <c r="K43">
        <v>354.47</v>
      </c>
      <c r="L43">
        <v>244.55</v>
      </c>
      <c r="M43">
        <v>268.33</v>
      </c>
    </row>
    <row r="44" spans="1:13" x14ac:dyDescent="0.35">
      <c r="A44" s="2">
        <v>-1</v>
      </c>
      <c r="B44" s="7" t="s">
        <v>4</v>
      </c>
      <c r="C44" s="7" t="s">
        <v>7</v>
      </c>
      <c r="D44" s="13">
        <v>894156702</v>
      </c>
      <c r="E44" s="10">
        <f t="shared" si="0"/>
        <v>10</v>
      </c>
      <c r="F44" s="13" t="s">
        <v>25</v>
      </c>
      <c r="G44">
        <v>13424</v>
      </c>
      <c r="H44" s="11">
        <v>4081.66</v>
      </c>
      <c r="I44" s="11">
        <v>3855.93</v>
      </c>
      <c r="J44">
        <v>89.73</v>
      </c>
      <c r="K44">
        <v>9773.81</v>
      </c>
      <c r="L44" s="11">
        <v>6400.42</v>
      </c>
      <c r="M44" s="11">
        <v>7866.34</v>
      </c>
    </row>
    <row r="45" spans="1:13" x14ac:dyDescent="0.35">
      <c r="A45" s="2">
        <v>-1</v>
      </c>
      <c r="B45" s="7" t="s">
        <v>4</v>
      </c>
      <c r="C45" s="7" t="s">
        <v>8</v>
      </c>
      <c r="D45" s="13">
        <v>677993261</v>
      </c>
      <c r="E45" s="10">
        <f t="shared" si="0"/>
        <v>10</v>
      </c>
      <c r="F45" s="13" t="s">
        <v>25</v>
      </c>
      <c r="G45">
        <v>14373</v>
      </c>
      <c r="H45" s="11">
        <v>153.09</v>
      </c>
      <c r="I45" s="11">
        <v>115.52</v>
      </c>
      <c r="J45">
        <v>85.29</v>
      </c>
      <c r="K45" s="11">
        <v>381.62</v>
      </c>
      <c r="L45" s="11">
        <v>201.31</v>
      </c>
      <c r="M45" s="11">
        <v>260.8</v>
      </c>
    </row>
    <row r="46" spans="1:13" x14ac:dyDescent="0.35">
      <c r="A46" s="2">
        <v>-1</v>
      </c>
      <c r="B46" s="7" t="s">
        <v>3</v>
      </c>
      <c r="C46" s="7" t="s">
        <v>6</v>
      </c>
      <c r="D46" s="14">
        <v>1111296</v>
      </c>
      <c r="E46" s="10">
        <f t="shared" si="0"/>
        <v>10</v>
      </c>
      <c r="F46" s="7">
        <v>10</v>
      </c>
      <c r="G46">
        <v>14378</v>
      </c>
      <c r="H46" s="11">
        <v>200.21</v>
      </c>
      <c r="I46" s="11">
        <v>228.7</v>
      </c>
      <c r="J46" s="11">
        <v>85.94</v>
      </c>
      <c r="K46" s="11">
        <v>386.38</v>
      </c>
      <c r="L46" s="11">
        <v>277.23</v>
      </c>
      <c r="M46">
        <v>291.26</v>
      </c>
    </row>
    <row r="47" spans="1:13" x14ac:dyDescent="0.35">
      <c r="A47" s="2">
        <v>-1</v>
      </c>
      <c r="B47" s="7" t="s">
        <v>3</v>
      </c>
      <c r="C47" s="7" t="s">
        <v>9</v>
      </c>
      <c r="D47" s="14">
        <v>917884306</v>
      </c>
      <c r="E47" s="10">
        <f t="shared" si="0"/>
        <v>10</v>
      </c>
      <c r="F47" s="7">
        <v>10</v>
      </c>
      <c r="G47">
        <v>14378</v>
      </c>
      <c r="H47" s="11">
        <v>187.92</v>
      </c>
      <c r="I47" s="11">
        <v>207.32</v>
      </c>
      <c r="J47" s="11">
        <v>85.16</v>
      </c>
      <c r="K47">
        <v>391.59</v>
      </c>
      <c r="L47" s="11">
        <v>244.74</v>
      </c>
      <c r="M47" s="11">
        <v>267.18</v>
      </c>
    </row>
    <row r="48" spans="1:13" x14ac:dyDescent="0.35">
      <c r="A48" s="2">
        <v>-1</v>
      </c>
      <c r="B48" s="7" t="s">
        <v>3</v>
      </c>
      <c r="C48" s="7" t="s">
        <v>7</v>
      </c>
      <c r="D48" s="14">
        <v>823708841</v>
      </c>
      <c r="E48" s="10">
        <f t="shared" si="0"/>
        <v>10</v>
      </c>
      <c r="F48" s="7">
        <v>10</v>
      </c>
      <c r="G48">
        <v>13482</v>
      </c>
      <c r="H48" s="11">
        <v>5379.68</v>
      </c>
      <c r="I48" s="11">
        <v>5800.54</v>
      </c>
      <c r="J48" s="11">
        <v>88.42</v>
      </c>
      <c r="K48">
        <v>9917.17</v>
      </c>
      <c r="L48" s="10">
        <v>7720.1</v>
      </c>
      <c r="M48" s="11">
        <v>8656.17</v>
      </c>
    </row>
    <row r="49" spans="1:13" x14ac:dyDescent="0.35">
      <c r="A49" s="2">
        <v>-1</v>
      </c>
      <c r="B49" s="7" t="s">
        <v>3</v>
      </c>
      <c r="C49" s="7" t="s">
        <v>8</v>
      </c>
      <c r="D49" s="14">
        <v>125381664</v>
      </c>
      <c r="E49" s="10">
        <f t="shared" si="0"/>
        <v>10</v>
      </c>
      <c r="F49" s="7">
        <v>10</v>
      </c>
      <c r="G49">
        <v>14383</v>
      </c>
      <c r="H49" s="11">
        <v>153.01</v>
      </c>
      <c r="I49" s="11">
        <v>115.44</v>
      </c>
      <c r="J49" s="11">
        <v>87.21</v>
      </c>
      <c r="K49" s="11">
        <v>358.94</v>
      </c>
      <c r="L49" s="11">
        <v>201.02</v>
      </c>
      <c r="M49" s="11">
        <v>260.8</v>
      </c>
    </row>
    <row r="50" spans="1:13" x14ac:dyDescent="0.35">
      <c r="A50" s="2">
        <v>1</v>
      </c>
      <c r="B50" s="7" t="s">
        <v>2</v>
      </c>
      <c r="C50" s="7" t="s">
        <v>6</v>
      </c>
      <c r="D50" s="20">
        <v>678515948</v>
      </c>
      <c r="E50" s="10">
        <f t="shared" si="0"/>
        <v>30</v>
      </c>
      <c r="F50" s="7">
        <v>0.03</v>
      </c>
      <c r="G50">
        <v>4293</v>
      </c>
      <c r="H50" s="10">
        <v>179</v>
      </c>
      <c r="I50" s="11">
        <v>132.28</v>
      </c>
      <c r="J50">
        <v>86.19</v>
      </c>
      <c r="K50">
        <v>358.34</v>
      </c>
      <c r="L50" s="11">
        <v>266.54000000000002</v>
      </c>
      <c r="M50">
        <v>284.31</v>
      </c>
    </row>
    <row r="51" spans="1:13" x14ac:dyDescent="0.35">
      <c r="A51" s="2">
        <v>1</v>
      </c>
      <c r="B51" s="7" t="s">
        <v>2</v>
      </c>
      <c r="C51" s="7" t="s">
        <v>9</v>
      </c>
      <c r="D51" s="21">
        <v>110423144</v>
      </c>
      <c r="E51" s="10">
        <f t="shared" si="0"/>
        <v>30</v>
      </c>
      <c r="F51" s="7">
        <v>0.03</v>
      </c>
      <c r="G51">
        <v>4367</v>
      </c>
      <c r="H51" s="11">
        <v>138.65</v>
      </c>
      <c r="I51">
        <v>117.35</v>
      </c>
      <c r="J51" s="11">
        <v>89.12</v>
      </c>
      <c r="K51" s="11">
        <v>271.37</v>
      </c>
      <c r="L51">
        <v>181.69</v>
      </c>
      <c r="M51">
        <v>200.71</v>
      </c>
    </row>
    <row r="52" spans="1:13" x14ac:dyDescent="0.35">
      <c r="A52" s="2">
        <v>1</v>
      </c>
      <c r="B52" s="7" t="s">
        <v>2</v>
      </c>
      <c r="C52" s="7" t="s">
        <v>7</v>
      </c>
      <c r="D52" s="20">
        <v>854280349</v>
      </c>
      <c r="E52" s="10">
        <f t="shared" si="0"/>
        <v>30</v>
      </c>
      <c r="F52" s="7">
        <v>0.03</v>
      </c>
      <c r="G52">
        <v>4338</v>
      </c>
      <c r="H52" s="11">
        <v>143.30000000000001</v>
      </c>
      <c r="I52" s="11">
        <v>109.32</v>
      </c>
      <c r="J52" s="10">
        <v>85.5</v>
      </c>
      <c r="K52">
        <v>355.54</v>
      </c>
      <c r="L52" s="11">
        <v>184.95</v>
      </c>
      <c r="M52" s="11">
        <v>254.9</v>
      </c>
    </row>
    <row r="53" spans="1:13" x14ac:dyDescent="0.35">
      <c r="A53" s="2">
        <v>1</v>
      </c>
      <c r="B53" s="7" t="s">
        <v>2</v>
      </c>
      <c r="C53" s="7" t="s">
        <v>8</v>
      </c>
      <c r="D53" s="20">
        <v>744779453</v>
      </c>
      <c r="E53" s="10">
        <f t="shared" si="0"/>
        <v>30</v>
      </c>
      <c r="F53" s="7">
        <v>0.03</v>
      </c>
      <c r="G53">
        <v>4275</v>
      </c>
      <c r="H53" s="11">
        <v>130.16999999999999</v>
      </c>
      <c r="I53" s="11">
        <v>108.96</v>
      </c>
      <c r="J53">
        <v>89.56</v>
      </c>
      <c r="K53" s="10">
        <v>311.7</v>
      </c>
      <c r="L53" s="11">
        <v>120.22</v>
      </c>
      <c r="M53">
        <v>228.02</v>
      </c>
    </row>
    <row r="54" spans="1:13" x14ac:dyDescent="0.35">
      <c r="A54" s="2">
        <v>1</v>
      </c>
      <c r="B54" s="7" t="s">
        <v>4</v>
      </c>
      <c r="C54" s="7" t="s">
        <v>6</v>
      </c>
      <c r="D54" s="20">
        <v>266774580</v>
      </c>
      <c r="E54" s="10">
        <f t="shared" si="0"/>
        <v>30</v>
      </c>
      <c r="F54" t="s">
        <v>26</v>
      </c>
      <c r="G54">
        <v>4774</v>
      </c>
      <c r="H54" s="11">
        <v>181.47</v>
      </c>
      <c r="I54">
        <v>152.78</v>
      </c>
      <c r="J54" s="11">
        <v>85.55</v>
      </c>
      <c r="K54" s="11">
        <v>320.20999999999998</v>
      </c>
      <c r="L54" s="11">
        <v>266.60000000000002</v>
      </c>
      <c r="M54" s="11">
        <v>278.8</v>
      </c>
    </row>
    <row r="55" spans="1:13" x14ac:dyDescent="0.35">
      <c r="A55" s="2">
        <v>1</v>
      </c>
      <c r="B55" s="7" t="s">
        <v>4</v>
      </c>
      <c r="C55" s="7" t="s">
        <v>9</v>
      </c>
      <c r="D55" s="20">
        <v>31252173</v>
      </c>
      <c r="E55" s="10">
        <f t="shared" si="0"/>
        <v>30</v>
      </c>
      <c r="F55" t="s">
        <v>26</v>
      </c>
      <c r="G55">
        <v>4766</v>
      </c>
      <c r="H55">
        <v>131.91</v>
      </c>
      <c r="I55">
        <v>108.12</v>
      </c>
      <c r="J55">
        <v>87.58</v>
      </c>
      <c r="K55" s="11">
        <v>236.11</v>
      </c>
      <c r="L55" s="11">
        <v>173.19</v>
      </c>
      <c r="M55" s="11">
        <v>188.82</v>
      </c>
    </row>
    <row r="56" spans="1:13" x14ac:dyDescent="0.35">
      <c r="A56" s="2">
        <v>1</v>
      </c>
      <c r="B56" s="7" t="s">
        <v>4</v>
      </c>
      <c r="C56" s="7" t="s">
        <v>7</v>
      </c>
      <c r="D56" s="21">
        <v>48710182</v>
      </c>
      <c r="E56" s="10">
        <f t="shared" si="0"/>
        <v>30</v>
      </c>
      <c r="F56" t="s">
        <v>26</v>
      </c>
      <c r="G56">
        <v>4806</v>
      </c>
      <c r="H56">
        <v>142.01</v>
      </c>
      <c r="I56" s="11">
        <v>108.45</v>
      </c>
      <c r="J56" s="11">
        <v>87.15</v>
      </c>
      <c r="K56" s="11">
        <v>322.02999999999997</v>
      </c>
      <c r="L56" s="11">
        <v>183.64</v>
      </c>
      <c r="M56" s="11">
        <v>251.93</v>
      </c>
    </row>
    <row r="57" spans="1:13" x14ac:dyDescent="0.35">
      <c r="A57" s="2">
        <v>1</v>
      </c>
      <c r="B57" s="7" t="s">
        <v>4</v>
      </c>
      <c r="C57" s="7" t="s">
        <v>8</v>
      </c>
      <c r="D57" s="20">
        <v>946868958</v>
      </c>
      <c r="E57" s="10">
        <f t="shared" si="0"/>
        <v>30</v>
      </c>
      <c r="F57" t="s">
        <v>26</v>
      </c>
      <c r="G57">
        <v>4823</v>
      </c>
      <c r="H57" s="11">
        <v>129.22999999999999</v>
      </c>
      <c r="I57">
        <v>108.81</v>
      </c>
      <c r="J57">
        <v>91.17</v>
      </c>
      <c r="K57">
        <v>303.25</v>
      </c>
      <c r="L57" s="11">
        <v>118.79</v>
      </c>
      <c r="M57" s="11">
        <v>226.42</v>
      </c>
    </row>
    <row r="58" spans="1:13" x14ac:dyDescent="0.35">
      <c r="A58" s="2">
        <v>1</v>
      </c>
      <c r="B58" s="7" t="s">
        <v>3</v>
      </c>
      <c r="C58" s="7" t="s">
        <v>6</v>
      </c>
      <c r="D58" s="20">
        <v>389426409</v>
      </c>
      <c r="E58" s="10">
        <f t="shared" si="0"/>
        <v>30</v>
      </c>
      <c r="F58">
        <v>30</v>
      </c>
      <c r="G58">
        <v>4794</v>
      </c>
      <c r="H58" s="11">
        <v>186.96</v>
      </c>
      <c r="I58" s="10">
        <v>220.2</v>
      </c>
      <c r="J58">
        <v>88.04</v>
      </c>
      <c r="K58" s="11">
        <v>293.45999999999998</v>
      </c>
      <c r="L58" s="11">
        <v>267.7</v>
      </c>
      <c r="M58" s="11">
        <v>278.74</v>
      </c>
    </row>
    <row r="59" spans="1:13" x14ac:dyDescent="0.35">
      <c r="A59" s="2">
        <v>1</v>
      </c>
      <c r="B59" s="7" t="s">
        <v>3</v>
      </c>
      <c r="C59" s="7" t="s">
        <v>9</v>
      </c>
      <c r="D59" s="20">
        <v>225068586</v>
      </c>
      <c r="E59" s="10">
        <f t="shared" si="0"/>
        <v>30</v>
      </c>
      <c r="F59">
        <v>30</v>
      </c>
      <c r="G59">
        <v>4794</v>
      </c>
      <c r="H59" s="11">
        <v>130.5</v>
      </c>
      <c r="I59">
        <v>106.05</v>
      </c>
      <c r="J59" s="11">
        <v>88.87</v>
      </c>
      <c r="K59" s="11">
        <v>198.36</v>
      </c>
      <c r="L59">
        <v>169.04</v>
      </c>
      <c r="M59" s="11">
        <v>188.56</v>
      </c>
    </row>
    <row r="60" spans="1:13" x14ac:dyDescent="0.35">
      <c r="A60" s="2">
        <v>1</v>
      </c>
      <c r="B60" s="7" t="s">
        <v>3</v>
      </c>
      <c r="C60" s="7" t="s">
        <v>7</v>
      </c>
      <c r="D60" s="20">
        <v>156006294</v>
      </c>
      <c r="E60" s="10">
        <f t="shared" si="0"/>
        <v>30</v>
      </c>
      <c r="F60">
        <v>30</v>
      </c>
      <c r="G60">
        <v>4793</v>
      </c>
      <c r="H60">
        <v>141.11000000000001</v>
      </c>
      <c r="I60" s="11">
        <v>107.66</v>
      </c>
      <c r="J60" s="11">
        <v>86.34</v>
      </c>
      <c r="K60" s="11">
        <v>327.11</v>
      </c>
      <c r="L60" s="11">
        <v>181.81</v>
      </c>
      <c r="M60">
        <v>251.77</v>
      </c>
    </row>
    <row r="61" spans="1:13" x14ac:dyDescent="0.35">
      <c r="A61" s="2">
        <v>1</v>
      </c>
      <c r="B61" s="7" t="s">
        <v>3</v>
      </c>
      <c r="C61" s="7" t="s">
        <v>8</v>
      </c>
      <c r="D61" s="20">
        <v>197720886</v>
      </c>
      <c r="E61" s="10">
        <f t="shared" si="0"/>
        <v>30</v>
      </c>
      <c r="F61">
        <v>30</v>
      </c>
      <c r="G61">
        <v>4796</v>
      </c>
      <c r="H61">
        <v>129.72999999999999</v>
      </c>
      <c r="I61" s="10">
        <v>110.8</v>
      </c>
      <c r="J61">
        <v>89.45</v>
      </c>
      <c r="K61">
        <v>304.45</v>
      </c>
      <c r="L61">
        <v>118.69</v>
      </c>
      <c r="M61" s="11">
        <v>229.18</v>
      </c>
    </row>
  </sheetData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FFF36_neu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Sander</cp:lastModifiedBy>
  <dcterms:modified xsi:type="dcterms:W3CDTF">2026-01-07T07:32:10Z</dcterms:modified>
</cp:coreProperties>
</file>