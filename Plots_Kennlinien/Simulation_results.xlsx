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\sciebo\Projekt_Kennlinien\QREI Paper\"/>
    </mc:Choice>
  </mc:AlternateContent>
  <xr:revisionPtr revIDLastSave="0" documentId="13_ncr:1_{24D4E9B4-F983-4252-871A-28F1E991FE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FF36_ne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2" l="1"/>
  <c r="H48" i="2"/>
  <c r="H47" i="2"/>
  <c r="H46" i="2"/>
  <c r="I45" i="2"/>
  <c r="H45" i="2"/>
  <c r="I44" i="2"/>
  <c r="H44" i="2"/>
  <c r="H43" i="2"/>
  <c r="H42" i="2"/>
  <c r="H41" i="2"/>
  <c r="H40" i="2"/>
  <c r="I39" i="2"/>
  <c r="H39" i="2"/>
  <c r="I38" i="2"/>
  <c r="H38" i="2"/>
  <c r="H37" i="2"/>
  <c r="I37" i="2" s="1"/>
  <c r="H36" i="2"/>
  <c r="I36" i="2" s="1"/>
  <c r="H35" i="2"/>
  <c r="I35" i="2" s="1"/>
  <c r="H34" i="2"/>
  <c r="I34" i="2" s="1"/>
  <c r="H33" i="2"/>
  <c r="I33" i="2" s="1"/>
  <c r="I32" i="2"/>
  <c r="H32" i="2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I25" i="2"/>
  <c r="H25" i="2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I18" i="2"/>
  <c r="H18" i="2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I11" i="2"/>
  <c r="H11" i="2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I4" i="2"/>
  <c r="H4" i="2"/>
  <c r="H3" i="2"/>
  <c r="I3" i="2" s="1"/>
  <c r="H2" i="2"/>
  <c r="I2" i="2" s="1"/>
</calcChain>
</file>

<file path=xl/sharedStrings.xml><?xml version="1.0" encoding="utf-8"?>
<sst xmlns="http://schemas.openxmlformats.org/spreadsheetml/2006/main" count="104" uniqueCount="15">
  <si>
    <t>coded_meanarrivaltime</t>
  </si>
  <si>
    <t>arrival_pattern</t>
  </si>
  <si>
    <t>EXP</t>
  </si>
  <si>
    <t>FIX</t>
  </si>
  <si>
    <t>NO</t>
  </si>
  <si>
    <t>assignment_strategy</t>
  </si>
  <si>
    <t>BU</t>
  </si>
  <si>
    <t>RA</t>
  </si>
  <si>
    <t>SQ</t>
  </si>
  <si>
    <t>TD</t>
  </si>
  <si>
    <t>throughput</t>
  </si>
  <si>
    <t>mopt</t>
  </si>
  <si>
    <t>seed</t>
  </si>
  <si>
    <t>meanarrivaltime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</si>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</sst>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name val="Calibri"/>
    </font>
    <font>
      <b/>
      <sz val="11"/>
      <color indexed="8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0" xfId="0" applyFill="1"/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2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3" fillId="2" borderId="0" xfId="0" applyFont="1" applyFill="1"/>
    <xf numFmtId="0" fontId="2" fillId="0" borderId="3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985D-6FB8-4BF1-A0FF-EF282C43135B}">
  <dimension ref="A1:I49"/>
  <sheetViews>
    <sheetView tabSelected="1" topLeftCell="A31" zoomScale="110" zoomScaleNormal="110" workbookViewId="0">
      <selection activeCell="D38" sqref="D38"/>
    </sheetView>
  </sheetViews>
  <sheetFormatPr baseColWidth="10" defaultRowHeight="14.5" x14ac:dyDescent="0.35"/>
  <cols>
    <col min="1" max="1" width="11.90625" bestFit="1" customWidth="1"/>
    <col min="3" max="3" width="10.6328125" customWidth="1"/>
    <col min="7" max="7" width="8" customWidth="1"/>
    <col min="8" max="8" width="16.6328125" customWidth="1"/>
  </cols>
  <sheetData>
    <row r="1" spans="1:9" x14ac:dyDescent="0.35">
      <c r="A1" s="1" t="s">
        <v>0</v>
      </c>
      <c r="B1" s="5" t="s">
        <v>1</v>
      </c>
      <c r="C1" s="5" t="s">
        <v>5</v>
      </c>
      <c r="D1" s="1" t="s">
        <v>10</v>
      </c>
      <c r="E1" s="3" t="s">
        <v>11</v>
      </c>
      <c r="F1" s="8" t="s">
        <v>12</v>
      </c>
      <c r="H1" s="3" t="s">
        <v>13</v>
      </c>
      <c r="I1" s="8" t="s">
        <v>14</v>
      </c>
    </row>
    <row r="2" spans="1:9" x14ac:dyDescent="0.35">
      <c r="A2" s="4">
        <v>-0.53457469657742196</v>
      </c>
      <c r="B2" s="6" t="s">
        <v>2</v>
      </c>
      <c r="C2" s="6" t="s">
        <v>6</v>
      </c>
      <c r="D2">
        <v>10161</v>
      </c>
      <c r="E2" s="11">
        <v>194.596</v>
      </c>
      <c r="F2" s="7">
        <v>568971862</v>
      </c>
      <c r="H2" s="10">
        <f>A2*10+20</f>
        <v>14.65425303422578</v>
      </c>
      <c r="I2" s="7">
        <f>ROUND(1/H2,2)</f>
        <v>7.0000000000000007E-2</v>
      </c>
    </row>
    <row r="3" spans="1:9" x14ac:dyDescent="0.35">
      <c r="A3" s="2">
        <v>-0.99993554223325831</v>
      </c>
      <c r="B3" s="6" t="s">
        <v>3</v>
      </c>
      <c r="C3" s="6" t="s">
        <v>7</v>
      </c>
      <c r="D3">
        <v>13224</v>
      </c>
      <c r="E3" s="10">
        <v>6795.1310000000003</v>
      </c>
      <c r="F3" s="7">
        <v>948991452</v>
      </c>
      <c r="H3" s="10">
        <f t="shared" ref="H3:H49" si="0">A3*10+20</f>
        <v>10.000644577667417</v>
      </c>
      <c r="I3" s="7">
        <f t="shared" ref="I3:I37" si="1">ROUND(H3,2)</f>
        <v>10</v>
      </c>
    </row>
    <row r="4" spans="1:9" x14ac:dyDescent="0.35">
      <c r="A4" s="2">
        <v>0.27521647758559176</v>
      </c>
      <c r="B4" s="6" t="s">
        <v>2</v>
      </c>
      <c r="C4" s="6" t="s">
        <v>7</v>
      </c>
      <c r="D4">
        <v>5915</v>
      </c>
      <c r="E4" s="11">
        <v>153.232</v>
      </c>
      <c r="F4" s="7">
        <v>972923303</v>
      </c>
      <c r="H4" s="10">
        <f t="shared" si="0"/>
        <v>22.752164775855917</v>
      </c>
      <c r="I4" s="7">
        <f>ROUND(1/H4,2)</f>
        <v>0.04</v>
      </c>
    </row>
    <row r="5" spans="1:9" x14ac:dyDescent="0.35">
      <c r="A5" s="2">
        <v>-0.72270078944168081</v>
      </c>
      <c r="B5" s="6" t="s">
        <v>3</v>
      </c>
      <c r="C5" s="6" t="s">
        <v>8</v>
      </c>
      <c r="D5">
        <v>11267</v>
      </c>
      <c r="E5" s="10">
        <v>134.80600000000001</v>
      </c>
      <c r="F5" s="7">
        <v>741015558</v>
      </c>
      <c r="H5" s="10">
        <f t="shared" si="0"/>
        <v>12.772992105583192</v>
      </c>
      <c r="I5" s="7">
        <f t="shared" si="1"/>
        <v>12.77</v>
      </c>
    </row>
    <row r="6" spans="1:9" x14ac:dyDescent="0.35">
      <c r="A6" s="2">
        <v>0.73268806083718696</v>
      </c>
      <c r="B6" s="6" t="s">
        <v>2</v>
      </c>
      <c r="C6" s="6" t="s">
        <v>8</v>
      </c>
      <c r="D6">
        <v>5716</v>
      </c>
      <c r="E6" s="10">
        <v>131.48500000000001</v>
      </c>
      <c r="F6" s="7">
        <v>972693767</v>
      </c>
      <c r="H6" s="10">
        <f t="shared" si="0"/>
        <v>27.326880608371869</v>
      </c>
      <c r="I6" s="7">
        <f>ROUND(1/H6,2)</f>
        <v>0.04</v>
      </c>
    </row>
    <row r="7" spans="1:9" x14ac:dyDescent="0.35">
      <c r="A7" s="2">
        <v>3.1848055791038887E-2</v>
      </c>
      <c r="B7" s="6" t="s">
        <v>4</v>
      </c>
      <c r="C7" s="6" t="s">
        <v>6</v>
      </c>
      <c r="D7">
        <v>5533</v>
      </c>
      <c r="E7" s="10">
        <v>184.14400000000001</v>
      </c>
      <c r="F7" s="7">
        <v>467700105</v>
      </c>
      <c r="H7" s="10">
        <f t="shared" si="0"/>
        <v>20.318480557910387</v>
      </c>
      <c r="I7" s="7">
        <f t="shared" si="1"/>
        <v>20.32</v>
      </c>
    </row>
    <row r="8" spans="1:9" x14ac:dyDescent="0.35">
      <c r="A8" s="2">
        <v>0.58057839683283974</v>
      </c>
      <c r="B8" s="6" t="s">
        <v>3</v>
      </c>
      <c r="C8" s="6" t="s">
        <v>9</v>
      </c>
      <c r="D8">
        <v>5574</v>
      </c>
      <c r="E8" s="10">
        <v>142.79</v>
      </c>
      <c r="F8" s="7">
        <v>459337911</v>
      </c>
      <c r="H8" s="10">
        <f t="shared" si="0"/>
        <v>25.805783968328399</v>
      </c>
      <c r="I8" s="7">
        <f t="shared" si="1"/>
        <v>25.81</v>
      </c>
    </row>
    <row r="9" spans="1:9" x14ac:dyDescent="0.35">
      <c r="A9" s="2">
        <v>-0.15085153614676172</v>
      </c>
      <c r="B9" s="6" t="s">
        <v>3</v>
      </c>
      <c r="C9" s="6" t="s">
        <v>6</v>
      </c>
      <c r="D9">
        <v>7777</v>
      </c>
      <c r="E9" s="11">
        <v>187.62799999999999</v>
      </c>
      <c r="F9" s="7">
        <v>610849846</v>
      </c>
      <c r="H9" s="10">
        <f t="shared" si="0"/>
        <v>18.491484638532384</v>
      </c>
      <c r="I9" s="7">
        <f t="shared" si="1"/>
        <v>18.489999999999998</v>
      </c>
    </row>
    <row r="10" spans="1:9" x14ac:dyDescent="0.35">
      <c r="A10" s="2">
        <v>0.17936095464013574</v>
      </c>
      <c r="B10" s="6" t="s">
        <v>3</v>
      </c>
      <c r="C10" s="6" t="s">
        <v>6</v>
      </c>
      <c r="D10">
        <v>6600</v>
      </c>
      <c r="E10" s="11">
        <v>183.685</v>
      </c>
      <c r="F10" s="7">
        <v>168336462</v>
      </c>
      <c r="H10" s="10">
        <f t="shared" si="0"/>
        <v>21.793609546401356</v>
      </c>
      <c r="I10" s="7">
        <f t="shared" si="1"/>
        <v>21.79</v>
      </c>
    </row>
    <row r="11" spans="1:9" x14ac:dyDescent="0.35">
      <c r="A11" s="2">
        <v>0.34881000469848977</v>
      </c>
      <c r="B11" s="6" t="s">
        <v>4</v>
      </c>
      <c r="C11" s="6" t="s">
        <v>8</v>
      </c>
      <c r="D11">
        <v>4729</v>
      </c>
      <c r="E11" s="11">
        <v>129.57599999999999</v>
      </c>
      <c r="F11" s="7">
        <v>70208427</v>
      </c>
      <c r="H11" s="10">
        <f t="shared" si="0"/>
        <v>23.488100046984897</v>
      </c>
      <c r="I11" s="7">
        <f t="shared" si="1"/>
        <v>23.49</v>
      </c>
    </row>
    <row r="12" spans="1:9" x14ac:dyDescent="0.35">
      <c r="A12" s="2">
        <v>9.7892649983005897E-2</v>
      </c>
      <c r="B12" s="6" t="s">
        <v>2</v>
      </c>
      <c r="C12" s="6" t="s">
        <v>6</v>
      </c>
      <c r="D12">
        <v>7125</v>
      </c>
      <c r="E12" s="11">
        <v>189.87100000000001</v>
      </c>
      <c r="F12" s="7">
        <v>53286692</v>
      </c>
      <c r="H12" s="10">
        <f t="shared" si="0"/>
        <v>20.97892649983006</v>
      </c>
      <c r="I12" s="7">
        <f>ROUND(1/H12,2)</f>
        <v>0.05</v>
      </c>
    </row>
    <row r="13" spans="1:9" x14ac:dyDescent="0.35">
      <c r="A13" s="2">
        <v>0.99870642647086949</v>
      </c>
      <c r="B13" s="6" t="s">
        <v>4</v>
      </c>
      <c r="C13" s="6" t="s">
        <v>9</v>
      </c>
      <c r="D13">
        <v>3699</v>
      </c>
      <c r="E13" s="11">
        <v>130.19300000000001</v>
      </c>
      <c r="F13" s="7">
        <v>830979508</v>
      </c>
      <c r="H13" s="10">
        <f t="shared" si="0"/>
        <v>29.987064264708692</v>
      </c>
      <c r="I13" s="7">
        <f t="shared" si="1"/>
        <v>29.99</v>
      </c>
    </row>
    <row r="14" spans="1:9" x14ac:dyDescent="0.35">
      <c r="A14" s="9">
        <v>0.88963378029392726</v>
      </c>
      <c r="B14" s="6" t="s">
        <v>4</v>
      </c>
      <c r="C14" s="6" t="s">
        <v>7</v>
      </c>
      <c r="D14" s="7">
        <v>3939</v>
      </c>
      <c r="E14" s="12">
        <v>138.93199999999999</v>
      </c>
      <c r="F14" s="7">
        <v>501631552</v>
      </c>
      <c r="G14" s="7"/>
      <c r="H14" s="10">
        <f t="shared" si="0"/>
        <v>28.896337802939271</v>
      </c>
      <c r="I14" s="7">
        <f t="shared" si="1"/>
        <v>28.9</v>
      </c>
    </row>
    <row r="15" spans="1:9" x14ac:dyDescent="0.35">
      <c r="A15" s="2">
        <v>0.94436977428587587</v>
      </c>
      <c r="B15" s="6" t="s">
        <v>3</v>
      </c>
      <c r="C15" s="6" t="s">
        <v>8</v>
      </c>
      <c r="D15">
        <v>4886</v>
      </c>
      <c r="E15" s="11">
        <v>129.35499999999999</v>
      </c>
      <c r="F15" s="7">
        <v>716279560</v>
      </c>
      <c r="H15" s="10">
        <f t="shared" si="0"/>
        <v>29.44369774285876</v>
      </c>
      <c r="I15" s="7">
        <f t="shared" si="1"/>
        <v>29.44</v>
      </c>
    </row>
    <row r="16" spans="1:9" x14ac:dyDescent="0.35">
      <c r="A16" s="2">
        <v>-0.46499088102252728</v>
      </c>
      <c r="B16" s="6" t="s">
        <v>4</v>
      </c>
      <c r="C16" s="6" t="s">
        <v>6</v>
      </c>
      <c r="D16">
        <v>7319</v>
      </c>
      <c r="E16" s="11">
        <v>187.523</v>
      </c>
      <c r="F16" s="7">
        <v>728588962</v>
      </c>
      <c r="H16" s="10">
        <f t="shared" si="0"/>
        <v>15.350091189774727</v>
      </c>
      <c r="I16" s="7">
        <f t="shared" si="1"/>
        <v>15.35</v>
      </c>
    </row>
    <row r="17" spans="1:9" x14ac:dyDescent="0.35">
      <c r="A17" s="2">
        <v>-0.187841137492955</v>
      </c>
      <c r="B17" s="6" t="s">
        <v>4</v>
      </c>
      <c r="C17" s="6" t="s">
        <v>8</v>
      </c>
      <c r="D17">
        <v>6153</v>
      </c>
      <c r="E17" s="11">
        <v>130.85400000000001</v>
      </c>
      <c r="F17" s="7">
        <v>575162052</v>
      </c>
      <c r="H17" s="10">
        <f t="shared" si="0"/>
        <v>18.121588625070451</v>
      </c>
      <c r="I17" s="7">
        <f t="shared" si="1"/>
        <v>18.12</v>
      </c>
    </row>
    <row r="18" spans="1:9" x14ac:dyDescent="0.35">
      <c r="A18" s="2">
        <v>0.41996497540733069</v>
      </c>
      <c r="B18" s="6" t="s">
        <v>2</v>
      </c>
      <c r="C18" s="6" t="s">
        <v>9</v>
      </c>
      <c r="D18">
        <v>5766</v>
      </c>
      <c r="E18" s="11">
        <v>148.554</v>
      </c>
      <c r="F18" s="7">
        <v>324768469</v>
      </c>
      <c r="H18" s="10">
        <f t="shared" si="0"/>
        <v>24.199649754073306</v>
      </c>
      <c r="I18" s="7">
        <f>ROUND(1/H18,2)</f>
        <v>0.04</v>
      </c>
    </row>
    <row r="19" spans="1:9" x14ac:dyDescent="0.35">
      <c r="A19" s="2">
        <v>0.48341700596894011</v>
      </c>
      <c r="B19" s="6" t="s">
        <v>3</v>
      </c>
      <c r="C19" s="6" t="s">
        <v>7</v>
      </c>
      <c r="D19">
        <v>5790</v>
      </c>
      <c r="E19" s="11">
        <v>145.09100000000001</v>
      </c>
      <c r="F19" s="7">
        <v>233850476</v>
      </c>
      <c r="H19" s="10">
        <f t="shared" si="0"/>
        <v>24.834170059689402</v>
      </c>
      <c r="I19" s="7">
        <f t="shared" si="1"/>
        <v>24.83</v>
      </c>
    </row>
    <row r="20" spans="1:9" x14ac:dyDescent="0.35">
      <c r="A20" s="2">
        <v>-0.40766824847444338</v>
      </c>
      <c r="B20" s="6" t="s">
        <v>3</v>
      </c>
      <c r="C20" s="6" t="s">
        <v>9</v>
      </c>
      <c r="D20">
        <v>9036</v>
      </c>
      <c r="E20" s="11">
        <v>162.02000000000001</v>
      </c>
      <c r="F20" s="7">
        <v>985522662</v>
      </c>
      <c r="H20" s="10">
        <f t="shared" si="0"/>
        <v>15.923317515255565</v>
      </c>
      <c r="I20" s="7">
        <f t="shared" si="1"/>
        <v>15.92</v>
      </c>
    </row>
    <row r="21" spans="1:9" x14ac:dyDescent="0.35">
      <c r="A21" s="2">
        <v>6.6730141205121773E-2</v>
      </c>
      <c r="B21" s="6" t="s">
        <v>3</v>
      </c>
      <c r="C21" s="6" t="s">
        <v>9</v>
      </c>
      <c r="D21">
        <v>6959</v>
      </c>
      <c r="E21" s="11">
        <v>158.892</v>
      </c>
      <c r="F21" s="7">
        <v>902843148</v>
      </c>
      <c r="H21" s="10">
        <f t="shared" si="0"/>
        <v>20.667301412051216</v>
      </c>
      <c r="I21" s="7">
        <f t="shared" si="1"/>
        <v>20.67</v>
      </c>
    </row>
    <row r="22" spans="1:9" x14ac:dyDescent="0.35">
      <c r="A22" s="2">
        <v>-0.21872825232275211</v>
      </c>
      <c r="B22" s="6" t="s">
        <v>3</v>
      </c>
      <c r="C22" s="6" t="s">
        <v>8</v>
      </c>
      <c r="D22">
        <v>8078</v>
      </c>
      <c r="E22" s="11">
        <v>129.77799999999999</v>
      </c>
      <c r="F22" s="7">
        <v>640324075</v>
      </c>
      <c r="H22" s="10">
        <f t="shared" si="0"/>
        <v>17.81271747677248</v>
      </c>
      <c r="I22" s="7">
        <f t="shared" si="1"/>
        <v>17.809999999999999</v>
      </c>
    </row>
    <row r="23" spans="1:9" x14ac:dyDescent="0.35">
      <c r="A23" s="2">
        <v>0.12526874296612511</v>
      </c>
      <c r="B23" s="6" t="s">
        <v>4</v>
      </c>
      <c r="C23" s="6" t="s">
        <v>7</v>
      </c>
      <c r="D23">
        <v>5280</v>
      </c>
      <c r="E23" s="11">
        <v>144.06899999999999</v>
      </c>
      <c r="F23" s="7">
        <v>539839369</v>
      </c>
      <c r="H23" s="10">
        <f t="shared" si="0"/>
        <v>21.25268742966125</v>
      </c>
      <c r="I23" s="7">
        <f t="shared" si="1"/>
        <v>21.25</v>
      </c>
    </row>
    <row r="24" spans="1:9" x14ac:dyDescent="0.35">
      <c r="A24" s="2">
        <v>-0.3446235299783868</v>
      </c>
      <c r="B24" s="6" t="s">
        <v>4</v>
      </c>
      <c r="C24" s="6" t="s">
        <v>8</v>
      </c>
      <c r="D24">
        <v>6735</v>
      </c>
      <c r="E24" s="11">
        <v>130.50200000000001</v>
      </c>
      <c r="F24" s="7">
        <v>7260022</v>
      </c>
      <c r="H24" s="10">
        <f t="shared" si="0"/>
        <v>16.553764700216131</v>
      </c>
      <c r="I24" s="7">
        <f t="shared" si="1"/>
        <v>16.55</v>
      </c>
    </row>
    <row r="25" spans="1:9" x14ac:dyDescent="0.35">
      <c r="A25" s="2">
        <v>-0.29733079452874622</v>
      </c>
      <c r="B25" s="6" t="s">
        <v>2</v>
      </c>
      <c r="C25" s="6" t="s">
        <v>7</v>
      </c>
      <c r="D25">
        <v>8590</v>
      </c>
      <c r="E25" s="11">
        <v>171.71799999999999</v>
      </c>
      <c r="F25" s="7">
        <v>145534203</v>
      </c>
      <c r="H25" s="10">
        <f t="shared" si="0"/>
        <v>17.026692054712537</v>
      </c>
      <c r="I25" s="7">
        <f>ROUND(1/H25,2)</f>
        <v>0.06</v>
      </c>
    </row>
    <row r="26" spans="1:9" x14ac:dyDescent="0.35">
      <c r="A26" s="2">
        <v>0.80188415283424974</v>
      </c>
      <c r="B26" s="6" t="s">
        <v>4</v>
      </c>
      <c r="C26" s="6" t="s">
        <v>6</v>
      </c>
      <c r="D26">
        <v>3958</v>
      </c>
      <c r="E26" s="11">
        <v>175.876</v>
      </c>
      <c r="F26" s="7">
        <v>581456739</v>
      </c>
      <c r="H26" s="10">
        <f t="shared" si="0"/>
        <v>28.018841528342499</v>
      </c>
      <c r="I26" s="7">
        <f t="shared" si="1"/>
        <v>28.02</v>
      </c>
    </row>
    <row r="27" spans="1:9" x14ac:dyDescent="0.35">
      <c r="A27" s="2">
        <v>5.3758327874242617E-3</v>
      </c>
      <c r="B27" s="6" t="s">
        <v>2</v>
      </c>
      <c r="C27" s="6" t="s">
        <v>9</v>
      </c>
      <c r="D27">
        <v>7003</v>
      </c>
      <c r="E27" s="11">
        <v>156.179</v>
      </c>
      <c r="F27" s="7">
        <v>774137703</v>
      </c>
      <c r="H27" s="10">
        <f t="shared" si="0"/>
        <v>20.053758327874242</v>
      </c>
      <c r="I27" s="7">
        <f>ROUND(1/H27,2)</f>
        <v>0.05</v>
      </c>
    </row>
    <row r="28" spans="1:9" x14ac:dyDescent="0.35">
      <c r="A28" s="2">
        <v>-0.86444305435961244</v>
      </c>
      <c r="B28" s="6" t="s">
        <v>2</v>
      </c>
      <c r="C28" s="6" t="s">
        <v>9</v>
      </c>
      <c r="D28">
        <v>12871</v>
      </c>
      <c r="E28" s="11">
        <v>183.06399999999999</v>
      </c>
      <c r="F28" s="7">
        <v>974296023</v>
      </c>
      <c r="H28" s="10">
        <f t="shared" si="0"/>
        <v>11.355569456403876</v>
      </c>
      <c r="I28" s="7">
        <f>ROUND(1/H28,2)</f>
        <v>0.09</v>
      </c>
    </row>
    <row r="29" spans="1:9" x14ac:dyDescent="0.35">
      <c r="A29" s="2">
        <v>-0.59089757110499663</v>
      </c>
      <c r="B29" s="6" t="s">
        <v>4</v>
      </c>
      <c r="C29" s="6" t="s">
        <v>7</v>
      </c>
      <c r="D29">
        <v>7928</v>
      </c>
      <c r="E29" s="11">
        <v>160.99199999999999</v>
      </c>
      <c r="F29" s="7">
        <v>768772969</v>
      </c>
      <c r="H29" s="10">
        <f t="shared" si="0"/>
        <v>14.091024288950035</v>
      </c>
      <c r="I29" s="7">
        <f t="shared" si="1"/>
        <v>14.09</v>
      </c>
    </row>
    <row r="30" spans="1:9" x14ac:dyDescent="0.35">
      <c r="A30" s="2">
        <v>-0.92092763349457063</v>
      </c>
      <c r="B30" s="6" t="s">
        <v>3</v>
      </c>
      <c r="C30" s="6" t="s">
        <v>6</v>
      </c>
      <c r="D30">
        <v>13327</v>
      </c>
      <c r="E30" s="11">
        <v>200.89</v>
      </c>
      <c r="F30" s="7">
        <v>277807241</v>
      </c>
      <c r="H30" s="10">
        <f t="shared" si="0"/>
        <v>10.790723665054294</v>
      </c>
      <c r="I30" s="7">
        <f t="shared" si="1"/>
        <v>10.79</v>
      </c>
    </row>
    <row r="31" spans="1:9" x14ac:dyDescent="0.35">
      <c r="A31" s="2">
        <v>-0.78765278579092246</v>
      </c>
      <c r="B31" s="6" t="s">
        <v>4</v>
      </c>
      <c r="C31" s="6" t="s">
        <v>9</v>
      </c>
      <c r="D31">
        <v>9151</v>
      </c>
      <c r="E31" s="11">
        <v>164.482</v>
      </c>
      <c r="F31" s="7">
        <v>405193582</v>
      </c>
      <c r="H31" s="10">
        <f t="shared" si="0"/>
        <v>12.123472142090776</v>
      </c>
      <c r="I31" s="7">
        <f t="shared" si="1"/>
        <v>12.12</v>
      </c>
    </row>
    <row r="32" spans="1:9" x14ac:dyDescent="0.35">
      <c r="A32" s="2">
        <v>-3.3361355323978548E-2</v>
      </c>
      <c r="B32" s="6" t="s">
        <v>2</v>
      </c>
      <c r="C32" s="6" t="s">
        <v>8</v>
      </c>
      <c r="D32">
        <v>7442</v>
      </c>
      <c r="E32" s="11">
        <v>134.31100000000001</v>
      </c>
      <c r="F32" s="7">
        <v>384195683</v>
      </c>
      <c r="H32" s="10">
        <f t="shared" si="0"/>
        <v>19.666386446760214</v>
      </c>
      <c r="I32" s="7">
        <f>ROUND(1/H32,2)</f>
        <v>0.05</v>
      </c>
    </row>
    <row r="33" spans="1:9" x14ac:dyDescent="0.35">
      <c r="A33" s="2">
        <v>0.64716523962429062</v>
      </c>
      <c r="B33" s="6" t="s">
        <v>2</v>
      </c>
      <c r="C33" s="6" t="s">
        <v>6</v>
      </c>
      <c r="D33">
        <v>5745</v>
      </c>
      <c r="E33" s="11">
        <v>185.345</v>
      </c>
      <c r="F33" s="7">
        <v>700291794</v>
      </c>
      <c r="H33" s="10">
        <f t="shared" si="0"/>
        <v>26.471652396242906</v>
      </c>
      <c r="I33" s="7">
        <f>ROUND(1/H33,2)</f>
        <v>0.04</v>
      </c>
    </row>
    <row r="34" spans="1:9" x14ac:dyDescent="0.35">
      <c r="A34" s="2">
        <v>-0.64933011850776612</v>
      </c>
      <c r="B34" s="6" t="s">
        <v>2</v>
      </c>
      <c r="C34" s="6" t="s">
        <v>8</v>
      </c>
      <c r="D34">
        <v>10297</v>
      </c>
      <c r="E34" s="11">
        <v>143.054</v>
      </c>
      <c r="F34" s="7">
        <v>881636510</v>
      </c>
      <c r="H34" s="10">
        <f t="shared" si="0"/>
        <v>13.506698814922338</v>
      </c>
      <c r="I34" s="7">
        <f>ROUND(1/H34,2)</f>
        <v>7.0000000000000007E-2</v>
      </c>
    </row>
    <row r="35" spans="1:9" x14ac:dyDescent="0.35">
      <c r="A35" s="2">
        <v>-0.10971305384752955</v>
      </c>
      <c r="B35" s="6" t="s">
        <v>2</v>
      </c>
      <c r="C35" s="6" t="s">
        <v>7</v>
      </c>
      <c r="D35">
        <v>7240</v>
      </c>
      <c r="E35" s="11">
        <v>158.93199999999999</v>
      </c>
      <c r="F35" s="7">
        <v>613937945</v>
      </c>
      <c r="H35" s="10">
        <f t="shared" si="0"/>
        <v>18.902869461524705</v>
      </c>
      <c r="I35" s="7">
        <f>ROUND(1/H35,2)</f>
        <v>0.05</v>
      </c>
    </row>
    <row r="36" spans="1:9" x14ac:dyDescent="0.35">
      <c r="A36" s="2">
        <v>-0.24274273926519896</v>
      </c>
      <c r="B36" s="6" t="s">
        <v>4</v>
      </c>
      <c r="C36" s="6" t="s">
        <v>9</v>
      </c>
      <c r="D36">
        <v>6335</v>
      </c>
      <c r="E36" s="11">
        <v>153.65</v>
      </c>
      <c r="F36" s="7">
        <v>405840937</v>
      </c>
      <c r="H36" s="10">
        <f t="shared" si="0"/>
        <v>17.572572607348011</v>
      </c>
      <c r="I36" s="7">
        <f t="shared" si="1"/>
        <v>17.57</v>
      </c>
    </row>
    <row r="37" spans="1:9" x14ac:dyDescent="0.35">
      <c r="A37" s="2">
        <v>-6.692909126492641E-2</v>
      </c>
      <c r="B37" s="6" t="s">
        <v>3</v>
      </c>
      <c r="C37" s="6" t="s">
        <v>7</v>
      </c>
      <c r="D37">
        <v>7443</v>
      </c>
      <c r="E37" s="11">
        <v>155.13999999999999</v>
      </c>
      <c r="F37" s="7">
        <v>602196382</v>
      </c>
      <c r="H37" s="10">
        <f t="shared" si="0"/>
        <v>19.330709087350737</v>
      </c>
      <c r="I37" s="7">
        <f t="shared" si="1"/>
        <v>19.329999999999998</v>
      </c>
    </row>
    <row r="38" spans="1:9" x14ac:dyDescent="0.35">
      <c r="A38" s="2">
        <v>-1</v>
      </c>
      <c r="B38" s="7" t="s">
        <v>2</v>
      </c>
      <c r="C38" s="7" t="s">
        <v>6</v>
      </c>
      <c r="D38">
        <v>14269</v>
      </c>
      <c r="E38" s="11">
        <v>206.05799999999999</v>
      </c>
      <c r="F38" s="7">
        <v>968749025</v>
      </c>
      <c r="H38" s="10">
        <f t="shared" si="0"/>
        <v>10</v>
      </c>
      <c r="I38" s="7">
        <f>1/10</f>
        <v>0.1</v>
      </c>
    </row>
    <row r="39" spans="1:9" x14ac:dyDescent="0.35">
      <c r="A39" s="2">
        <v>-1</v>
      </c>
      <c r="B39" s="7" t="s">
        <v>2</v>
      </c>
      <c r="C39" s="7" t="s">
        <v>9</v>
      </c>
      <c r="D39">
        <v>14488</v>
      </c>
      <c r="E39" s="11">
        <v>192.285</v>
      </c>
      <c r="F39" s="7">
        <v>494165784</v>
      </c>
      <c r="H39" s="10">
        <f t="shared" si="0"/>
        <v>10</v>
      </c>
      <c r="I39" s="7">
        <f>1/10</f>
        <v>0.1</v>
      </c>
    </row>
    <row r="40" spans="1:9" x14ac:dyDescent="0.35">
      <c r="A40" s="2">
        <v>-1</v>
      </c>
      <c r="B40" s="7" t="s">
        <v>3</v>
      </c>
      <c r="C40" s="7" t="s">
        <v>6</v>
      </c>
      <c r="D40">
        <v>14379</v>
      </c>
      <c r="E40" s="11">
        <v>200.67500000000001</v>
      </c>
      <c r="F40" s="7">
        <v>260483433</v>
      </c>
      <c r="H40" s="10">
        <f t="shared" si="0"/>
        <v>10</v>
      </c>
      <c r="I40" s="7">
        <v>10</v>
      </c>
    </row>
    <row r="41" spans="1:9" x14ac:dyDescent="0.35">
      <c r="A41" s="2">
        <v>-1</v>
      </c>
      <c r="B41" s="7" t="s">
        <v>3</v>
      </c>
      <c r="C41" s="7" t="s">
        <v>8</v>
      </c>
      <c r="D41">
        <v>14387</v>
      </c>
      <c r="E41" s="11">
        <v>152.86099999999999</v>
      </c>
      <c r="F41" s="7">
        <v>734358428</v>
      </c>
      <c r="H41" s="10">
        <f t="shared" si="0"/>
        <v>10</v>
      </c>
      <c r="I41" s="7">
        <v>10</v>
      </c>
    </row>
    <row r="42" spans="1:9" x14ac:dyDescent="0.35">
      <c r="A42" s="2">
        <v>-1</v>
      </c>
      <c r="B42" s="7" t="s">
        <v>4</v>
      </c>
      <c r="C42" s="7" t="s">
        <v>7</v>
      </c>
      <c r="D42">
        <v>11235</v>
      </c>
      <c r="E42" s="11">
        <v>198.922</v>
      </c>
      <c r="F42" s="7">
        <v>580913166</v>
      </c>
      <c r="H42" s="10">
        <f t="shared" si="0"/>
        <v>10</v>
      </c>
      <c r="I42" s="7">
        <v>10</v>
      </c>
    </row>
    <row r="43" spans="1:9" x14ac:dyDescent="0.35">
      <c r="A43" s="2">
        <v>-1</v>
      </c>
      <c r="B43" s="7" t="s">
        <v>4</v>
      </c>
      <c r="C43" s="7" t="s">
        <v>9</v>
      </c>
      <c r="D43">
        <v>11109</v>
      </c>
      <c r="E43" s="11">
        <v>174.7</v>
      </c>
      <c r="F43" s="7">
        <v>630396595</v>
      </c>
      <c r="H43" s="10">
        <f t="shared" si="0"/>
        <v>10</v>
      </c>
      <c r="I43" s="7">
        <v>10</v>
      </c>
    </row>
    <row r="44" spans="1:9" x14ac:dyDescent="0.35">
      <c r="A44" s="2">
        <v>1</v>
      </c>
      <c r="B44" s="7" t="s">
        <v>2</v>
      </c>
      <c r="C44" s="7" t="s">
        <v>7</v>
      </c>
      <c r="D44">
        <v>4252</v>
      </c>
      <c r="E44" s="11">
        <v>144.11099999999999</v>
      </c>
      <c r="F44" s="13">
        <v>894156702</v>
      </c>
      <c r="H44" s="10">
        <f t="shared" si="0"/>
        <v>30</v>
      </c>
      <c r="I44" s="7">
        <f>1/30</f>
        <v>3.3333333333333333E-2</v>
      </c>
    </row>
    <row r="45" spans="1:9" x14ac:dyDescent="0.35">
      <c r="A45" s="2">
        <v>1</v>
      </c>
      <c r="B45" s="7" t="s">
        <v>2</v>
      </c>
      <c r="C45" s="7" t="s">
        <v>8</v>
      </c>
      <c r="D45">
        <v>4311</v>
      </c>
      <c r="E45" s="11">
        <v>130.178</v>
      </c>
      <c r="F45" s="13">
        <v>677993261</v>
      </c>
      <c r="H45" s="10">
        <f t="shared" si="0"/>
        <v>30</v>
      </c>
      <c r="I45" s="7">
        <f>1/30</f>
        <v>3.3333333333333333E-2</v>
      </c>
    </row>
    <row r="46" spans="1:9" x14ac:dyDescent="0.35">
      <c r="A46" s="2">
        <v>1</v>
      </c>
      <c r="B46" s="7" t="s">
        <v>3</v>
      </c>
      <c r="C46" s="7" t="s">
        <v>7</v>
      </c>
      <c r="D46">
        <v>4796</v>
      </c>
      <c r="E46" s="11">
        <v>141.93299999999999</v>
      </c>
      <c r="F46" s="14">
        <v>1111296</v>
      </c>
      <c r="H46" s="10">
        <f t="shared" si="0"/>
        <v>30</v>
      </c>
      <c r="I46" s="7">
        <v>30</v>
      </c>
    </row>
    <row r="47" spans="1:9" x14ac:dyDescent="0.35">
      <c r="A47" s="2">
        <v>1</v>
      </c>
      <c r="B47" s="7" t="s">
        <v>3</v>
      </c>
      <c r="C47" s="7" t="s">
        <v>9</v>
      </c>
      <c r="D47">
        <v>4796</v>
      </c>
      <c r="E47" s="11">
        <v>129.84299999999999</v>
      </c>
      <c r="F47" s="14">
        <v>917884306</v>
      </c>
      <c r="H47" s="10">
        <f t="shared" si="0"/>
        <v>30</v>
      </c>
      <c r="I47" s="7">
        <v>30</v>
      </c>
    </row>
    <row r="48" spans="1:9" x14ac:dyDescent="0.35">
      <c r="A48" s="2">
        <v>1</v>
      </c>
      <c r="B48" s="7" t="s">
        <v>4</v>
      </c>
      <c r="C48" s="7" t="s">
        <v>6</v>
      </c>
      <c r="D48">
        <v>3730</v>
      </c>
      <c r="E48" s="11">
        <v>173.37899999999999</v>
      </c>
      <c r="F48" s="14">
        <v>823708841</v>
      </c>
      <c r="H48" s="10">
        <f t="shared" si="0"/>
        <v>30</v>
      </c>
      <c r="I48" s="7">
        <v>30</v>
      </c>
    </row>
    <row r="49" spans="1:9" x14ac:dyDescent="0.35">
      <c r="A49" s="2">
        <v>1</v>
      </c>
      <c r="B49" s="7" t="s">
        <v>4</v>
      </c>
      <c r="C49" s="7" t="s">
        <v>8</v>
      </c>
      <c r="D49">
        <v>3785</v>
      </c>
      <c r="E49" s="11">
        <v>128.94999999999999</v>
      </c>
      <c r="F49" s="14">
        <v>125381664</v>
      </c>
      <c r="H49" s="10">
        <f t="shared" si="0"/>
        <v>30</v>
      </c>
      <c r="I49" s="7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FFF36_neu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Sander</cp:lastModifiedBy>
  <dcterms:modified xsi:type="dcterms:W3CDTF">2025-12-02T13:17:44Z</dcterms:modified>
</cp:coreProperties>
</file>